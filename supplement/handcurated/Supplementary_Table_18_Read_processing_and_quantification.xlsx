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Libraries" sheetId="1" state="visible" r:id="rId1"/>
    <sheet xmlns:r="http://schemas.openxmlformats.org/officeDocument/2006/relationships" name="Strandedness" sheetId="2" state="visible" r:id="rId2"/>
    <sheet xmlns:r="http://schemas.openxmlformats.org/officeDocument/2006/relationships" name="Software and reference" sheetId="3" state="visible" r:id="rId3"/>
    <sheet xmlns:r="http://schemas.openxmlformats.org/officeDocument/2006/relationships" name="Raw file checksums"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8">
    <font>
      <name val="Calibri"/>
      <charset val="1"/>
      <family val="2"/>
      <color theme="1"/>
      <sz val="11"/>
    </font>
    <font>
      <name val="Arial"/>
      <family val="0"/>
      <sz val="10"/>
    </font>
    <font>
      <name val="Arial"/>
      <family val="0"/>
      <sz val="10"/>
    </font>
    <font>
      <name val="Arial"/>
      <family val="0"/>
      <sz val="10"/>
    </font>
    <font>
      <name val="Arial"/>
      <charset val="1"/>
      <family val="0"/>
      <b val="1"/>
      <sz val="12"/>
    </font>
    <font>
      <name val="Arial"/>
      <charset val="1"/>
      <family val="0"/>
      <i val="1"/>
      <sz val="9"/>
    </font>
    <font>
      <name val="Arial"/>
      <charset val="1"/>
      <family val="0"/>
      <b val="1"/>
      <sz val="10"/>
    </font>
    <font>
      <name val="Arial"/>
      <charset val="1"/>
      <family val="0"/>
      <sz val="10"/>
    </font>
  </fonts>
  <fills count="3">
    <fill>
      <patternFill/>
    </fill>
    <fill>
      <patternFill patternType="gray125"/>
    </fill>
    <fill>
      <patternFill patternType="solid">
        <fgColor rgb="FFD9E1F2"/>
        <bgColor rgb="FFCCFFFF"/>
      </patternFill>
    </fill>
  </fills>
  <borders count="2">
    <border>
      <left/>
      <right/>
      <top/>
      <bottom/>
      <diagonal/>
    </border>
    <border>
      <left/>
      <right/>
      <top/>
      <bottom style="thin">
        <color rgb="FF80808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wrapText="1"/>
    </xf>
    <xf numFmtId="0" fontId="6" fillId="2" borderId="1" applyAlignment="1" pivotButton="0" quotePrefix="0" xfId="0">
      <alignment horizontal="general" vertical="center" wrapText="1"/>
    </xf>
    <xf numFmtId="0" fontId="7" fillId="0" borderId="0" applyAlignment="1" pivotButton="0" quotePrefix="0" xfId="0">
      <alignment horizontal="general" vertical="bottom"/>
    </xf>
    <xf numFmtId="3" fontId="7" fillId="0" borderId="0" applyAlignment="1" pivotButton="0" quotePrefix="0" xfId="0">
      <alignment horizontal="general" vertical="bottom"/>
    </xf>
    <xf numFmtId="164" fontId="7" fillId="0" borderId="0" applyAlignment="1" pivotButton="0" quotePrefix="0" xfId="0">
      <alignment horizontal="general" vertical="bottom"/>
    </xf>
    <xf numFmtId="0" fontId="6" fillId="0" borderId="0" applyAlignment="1" pivotButton="0" quotePrefix="0" xfId="0">
      <alignment horizontal="general" vertical="top" wrapText="1"/>
    </xf>
    <xf numFmtId="0" fontId="5" fillId="0" borderId="0" applyAlignment="1" pivotButton="0" quotePrefix="0" xfId="0">
      <alignment horizontal="general" vertical="top" wrapText="1"/>
    </xf>
    <xf numFmtId="0" fontId="5"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wrapText="1"/>
    </xf>
    <xf numFmtId="0" fontId="6" fillId="2" borderId="1" applyAlignment="1" pivotButton="0" quotePrefix="0" xfId="0">
      <alignment horizontal="general" vertical="center" wrapText="1"/>
    </xf>
    <xf numFmtId="0" fontId="7" fillId="0" borderId="0" applyAlignment="1" pivotButton="0" quotePrefix="0" xfId="0">
      <alignment horizontal="general" vertical="bottom"/>
    </xf>
    <xf numFmtId="3" fontId="7" fillId="0" borderId="0" applyAlignment="1" pivotButton="0" quotePrefix="0" xfId="0">
      <alignment horizontal="general" vertical="bottom"/>
    </xf>
    <xf numFmtId="164" fontId="7" fillId="0" borderId="0" applyAlignment="1" pivotButton="0" quotePrefix="0" xfId="0">
      <alignment horizontal="general" vertical="bottom"/>
    </xf>
    <xf numFmtId="0" fontId="6" fillId="0" borderId="0" applyAlignment="1" pivotButton="0" quotePrefix="0" xfId="0">
      <alignment horizontal="general" vertical="top" wrapText="1"/>
    </xf>
    <xf numFmtId="0" fontId="5" fillId="0" borderId="0" applyAlignment="1" pivotButton="0" quotePrefix="0" xfId="0">
      <alignment horizontal="general" vertical="top" wrapText="1"/>
    </xf>
    <xf numFmtId="0" fontId="5"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R67"/>
  <sheetViews>
    <sheetView showFormulas="0" showGridLines="1" showRowColHeaders="1" showZeros="1" rightToLeft="0" tabSelected="1"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0"/>
  <cols>
    <col width="12" customWidth="1" style="11" min="1" max="1"/>
    <col width="26" customWidth="1" style="11" min="2" max="2"/>
    <col width="11" customWidth="1" style="11" min="3" max="3"/>
    <col width="19" customWidth="1" style="11" min="4" max="4"/>
    <col width="15" customWidth="1" style="11" min="5" max="5"/>
    <col width="34" customWidth="1" style="11" min="6" max="6"/>
    <col width="13" customWidth="1" style="11" min="7" max="7"/>
    <col width="12" customWidth="1" style="11" min="8" max="8"/>
    <col width="24" customWidth="1" style="11" min="9" max="9"/>
    <col width="11" customWidth="1" style="11" min="10" max="10"/>
    <col width="12" customWidth="1" style="11" min="11" max="11"/>
    <col width="14" customWidth="1" style="11" min="12" max="12"/>
    <col width="11" customWidth="1" style="11" min="13" max="13"/>
    <col width="13" customWidth="1" style="11" min="14" max="14"/>
    <col width="15" customWidth="1" style="11" min="15" max="16"/>
    <col width="13" customWidth="1" style="11" min="17" max="17"/>
    <col width="11" customWidth="1" style="11" min="18" max="18"/>
  </cols>
  <sheetData>
    <row r="1" ht="15" customHeight="1" s="12">
      <c r="A1" s="13" t="inlineStr">
        <is>
          <t>Supplementary Table 18. Read processing and quantification metrics for every RNA-seq library</t>
        </is>
      </c>
    </row>
    <row r="2" ht="30" customHeight="1" s="12">
      <c r="A2" s="14" t="inlineStr">
        <is>
          <t>One row per library: 48 libraries of this study (GEO GSE348661) and the 6 libraries of GSE183742 re-analyzed for cross-dataset replication. Values are from reprocessing the raw reads with the released upstream pipeline (Supplementary Methods S3, S15); see footnotes.</t>
        </is>
      </c>
    </row>
    <row r="3"/>
    <row r="4" ht="57.75" customHeight="1" s="12">
      <c r="A4" s="15" t="inlineStr">
        <is>
          <t>Library</t>
        </is>
      </c>
      <c r="B4" s="15" t="inlineStr">
        <is>
          <t>Study</t>
        </is>
      </c>
      <c r="C4" s="15" t="inlineStr">
        <is>
          <t>Sequencing batch</t>
        </is>
      </c>
      <c r="D4" s="15" t="inlineStr">
        <is>
          <t>Tissue</t>
        </is>
      </c>
      <c r="E4" s="15" t="inlineStr">
        <is>
          <t>Age</t>
        </is>
      </c>
      <c r="F4" s="15" t="inlineStr">
        <is>
          <t>Genotype / group</t>
        </is>
      </c>
      <c r="G4" s="15" t="inlineStr">
        <is>
          <t>Read pairs sequenced</t>
        </is>
      </c>
      <c r="H4" s="15" t="inlineStr">
        <is>
          <t>Pairs retained after trimming (%)</t>
        </is>
      </c>
      <c r="I4" s="15" t="inlineStr">
        <is>
          <t>Adapters</t>
        </is>
      </c>
      <c r="J4" s="15" t="inlineStr">
        <is>
          <t>Overall alignment rate (%)</t>
        </is>
      </c>
      <c r="K4" s="15" t="inlineStr">
        <is>
          <t>Pairs aligned concordantly once (%)</t>
        </is>
      </c>
      <c r="L4" s="15" t="inlineStr">
        <is>
          <t>Fragments assigned to genes</t>
        </is>
      </c>
      <c r="M4" s="15" t="inlineStr">
        <is>
          <t>Fragments assigned (%)</t>
        </is>
      </c>
      <c r="N4" s="15" t="inlineStr">
        <is>
          <t>Assigned / (assigned + no feature) (%)</t>
        </is>
      </c>
      <c r="O4" s="15" t="inlineStr">
        <is>
          <t>Fragments in matrix, reprocessed (matrix of record)</t>
        </is>
      </c>
      <c r="P4" s="15" t="inlineStr">
        <is>
          <t>Fragments in matrix, August 2026 (superseded)</t>
        </is>
      </c>
      <c r="Q4" s="15" t="inlineStr">
        <is>
          <t>Difference (reprocessed − August 2026)</t>
        </is>
      </c>
      <c r="R4" s="15" t="inlineStr">
        <is>
          <t>Largest difference for any gene</t>
        </is>
      </c>
    </row>
    <row r="5" ht="15" customHeight="1" s="12">
      <c r="A5" s="16" t="inlineStr">
        <is>
          <t>B_CW1</t>
        </is>
      </c>
      <c r="B5" s="16" t="inlineStr">
        <is>
          <t>This study (GSE348661)</t>
        </is>
      </c>
      <c r="C5" s="16" t="inlineStr">
        <is>
          <t>2025</t>
        </is>
      </c>
      <c r="D5" s="16" t="inlineStr">
        <is>
          <t>Cornea</t>
        </is>
      </c>
      <c r="E5" s="16" t="inlineStr">
        <is>
          <t>P3/P4</t>
        </is>
      </c>
      <c r="F5" s="16" t="inlineStr">
        <is>
          <t>Pax6+/+</t>
        </is>
      </c>
      <c r="G5" s="17" t="n">
        <v>62660880</v>
      </c>
      <c r="H5" s="18" t="n">
        <v>0.9695</v>
      </c>
      <c r="I5" s="16" t="inlineStr">
        <is>
          <t>none detected (TruSeq3-PE)</t>
        </is>
      </c>
      <c r="J5" s="18" t="n">
        <v>0.9133</v>
      </c>
      <c r="K5" s="18" t="n">
        <v>0.8091</v>
      </c>
      <c r="L5" s="17" t="n">
        <v>46641486</v>
      </c>
      <c r="M5" s="18" t="n">
        <v>0.709</v>
      </c>
      <c r="N5" s="18" t="n">
        <v>0.946</v>
      </c>
      <c r="O5" s="17" t="n">
        <v>49874109</v>
      </c>
      <c r="P5" s="17" t="n">
        <v>49874105</v>
      </c>
      <c r="Q5" s="17">
        <f>O5-P5</f>
        <v/>
      </c>
      <c r="R5" s="17" t="n">
        <v>5</v>
      </c>
    </row>
    <row r="6" ht="15" customHeight="1" s="12">
      <c r="A6" s="16" t="inlineStr">
        <is>
          <t>B_CW3</t>
        </is>
      </c>
      <c r="B6" s="16" t="inlineStr">
        <is>
          <t>This study (GSE348661)</t>
        </is>
      </c>
      <c r="C6" s="16" t="inlineStr">
        <is>
          <t>2026</t>
        </is>
      </c>
      <c r="D6" s="16" t="inlineStr">
        <is>
          <t>Cornea</t>
        </is>
      </c>
      <c r="E6" s="16" t="inlineStr">
        <is>
          <t>P3/P4</t>
        </is>
      </c>
      <c r="F6" s="16" t="inlineStr">
        <is>
          <t>Pax6+/+</t>
        </is>
      </c>
      <c r="G6" s="17" t="n">
        <v>54409582</v>
      </c>
      <c r="H6" s="18" t="n">
        <v>0.9815</v>
      </c>
      <c r="I6" s="16" t="inlineStr">
        <is>
          <t>none detected (TruSeq3-PE)</t>
        </is>
      </c>
      <c r="J6" s="18" t="n">
        <v>0.956</v>
      </c>
      <c r="K6" s="18" t="n">
        <v>0.8895999999999999</v>
      </c>
      <c r="L6" s="17" t="n">
        <v>42697292</v>
      </c>
      <c r="M6" s="18" t="n">
        <v>0.737</v>
      </c>
      <c r="N6" s="18" t="n">
        <v>0.898</v>
      </c>
      <c r="O6" s="17" t="n">
        <v>46221928</v>
      </c>
      <c r="P6" s="17" t="n">
        <v>46221916</v>
      </c>
      <c r="Q6" s="17">
        <f>O6-P6</f>
        <v/>
      </c>
      <c r="R6" s="17" t="n">
        <v>3</v>
      </c>
    </row>
    <row r="7" ht="15" customHeight="1" s="12">
      <c r="A7" s="16" t="inlineStr">
        <is>
          <t>B_CW4</t>
        </is>
      </c>
      <c r="B7" s="16" t="inlineStr">
        <is>
          <t>This study (GSE348661)</t>
        </is>
      </c>
      <c r="C7" s="16" t="inlineStr">
        <is>
          <t>2026</t>
        </is>
      </c>
      <c r="D7" s="16" t="inlineStr">
        <is>
          <t>Cornea</t>
        </is>
      </c>
      <c r="E7" s="16" t="inlineStr">
        <is>
          <t>P3/P4</t>
        </is>
      </c>
      <c r="F7" s="16" t="inlineStr">
        <is>
          <t>Pax6+/+</t>
        </is>
      </c>
      <c r="G7" s="17" t="n">
        <v>53598675</v>
      </c>
      <c r="H7" s="18" t="n">
        <v>0.9837</v>
      </c>
      <c r="I7" s="16" t="inlineStr">
        <is>
          <t>none detected (TruSeq3-PE)</t>
        </is>
      </c>
      <c r="J7" s="18" t="n">
        <v>0.9708</v>
      </c>
      <c r="K7" s="18" t="n">
        <v>0.9054</v>
      </c>
      <c r="L7" s="17" t="n">
        <v>40592931</v>
      </c>
      <c r="M7" s="18" t="n">
        <v>0.706</v>
      </c>
      <c r="N7" s="18" t="n">
        <v>0.85</v>
      </c>
      <c r="O7" s="17" t="n">
        <v>43586424</v>
      </c>
      <c r="P7" s="17" t="n">
        <v>43586418</v>
      </c>
      <c r="Q7" s="17">
        <f>O7-P7</f>
        <v/>
      </c>
      <c r="R7" s="17" t="n">
        <v>4</v>
      </c>
    </row>
    <row r="8" ht="15" customHeight="1" s="12">
      <c r="A8" s="16" t="inlineStr">
        <is>
          <t>B_CW5</t>
        </is>
      </c>
      <c r="B8" s="16" t="inlineStr">
        <is>
          <t>This study (GSE348661)</t>
        </is>
      </c>
      <c r="C8" s="16" t="inlineStr">
        <is>
          <t>2026</t>
        </is>
      </c>
      <c r="D8" s="16" t="inlineStr">
        <is>
          <t>Cornea</t>
        </is>
      </c>
      <c r="E8" s="16" t="inlineStr">
        <is>
          <t>P3/P4</t>
        </is>
      </c>
      <c r="F8" s="16" t="inlineStr">
        <is>
          <t>Pax6+/+</t>
        </is>
      </c>
      <c r="G8" s="17" t="n">
        <v>53016797</v>
      </c>
      <c r="H8" s="18" t="n">
        <v>0.983</v>
      </c>
      <c r="I8" s="16" t="inlineStr">
        <is>
          <t>none detected (TruSeq3-PE)</t>
        </is>
      </c>
      <c r="J8" s="18" t="n">
        <v>0.9756</v>
      </c>
      <c r="K8" s="18" t="n">
        <v>0.9035</v>
      </c>
      <c r="L8" s="17" t="n">
        <v>41250088</v>
      </c>
      <c r="M8" s="18" t="n">
        <v>0.72</v>
      </c>
      <c r="N8" s="18" t="n">
        <v>0.875</v>
      </c>
      <c r="O8" s="17" t="n">
        <v>43917516</v>
      </c>
      <c r="P8" s="17" t="n">
        <v>43917513</v>
      </c>
      <c r="Q8" s="17">
        <f>O8-P8</f>
        <v/>
      </c>
      <c r="R8" s="17" t="n">
        <v>2</v>
      </c>
    </row>
    <row r="9" ht="15" customHeight="1" s="12">
      <c r="A9" s="16" t="inlineStr">
        <is>
          <t>B_CU1</t>
        </is>
      </c>
      <c r="B9" s="16" t="inlineStr">
        <is>
          <t>This study (GSE348661)</t>
        </is>
      </c>
      <c r="C9" s="16" t="inlineStr">
        <is>
          <t>2025</t>
        </is>
      </c>
      <c r="D9" s="16" t="inlineStr">
        <is>
          <t>Cornea</t>
        </is>
      </c>
      <c r="E9" s="16" t="inlineStr">
        <is>
          <t>P3/P4</t>
        </is>
      </c>
      <c r="F9" s="16" t="inlineStr">
        <is>
          <t>Pax6Sey-Neu/+ transparent</t>
        </is>
      </c>
      <c r="G9" s="17" t="n">
        <v>54054175</v>
      </c>
      <c r="H9" s="18" t="n">
        <v>0.9702</v>
      </c>
      <c r="I9" s="16" t="inlineStr">
        <is>
          <t>none detected (TruSeq3-PE)</t>
        </is>
      </c>
      <c r="J9" s="18" t="n">
        <v>0.919</v>
      </c>
      <c r="K9" s="18" t="n">
        <v>0.8388</v>
      </c>
      <c r="L9" s="17" t="n">
        <v>41266427</v>
      </c>
      <c r="M9" s="18" t="n">
        <v>0.725</v>
      </c>
      <c r="N9" s="18" t="n">
        <v>0.9360000000000001</v>
      </c>
      <c r="O9" s="17" t="n">
        <v>44162640</v>
      </c>
      <c r="P9" s="17" t="n">
        <v>44162634</v>
      </c>
      <c r="Q9" s="17">
        <f>O9-P9</f>
        <v/>
      </c>
      <c r="R9" s="17" t="n">
        <v>3</v>
      </c>
    </row>
    <row r="10" ht="15" customHeight="1" s="12">
      <c r="A10" s="16" t="inlineStr">
        <is>
          <t>B_CU2</t>
        </is>
      </c>
      <c r="B10" s="16" t="inlineStr">
        <is>
          <t>This study (GSE348661)</t>
        </is>
      </c>
      <c r="C10" s="16" t="inlineStr">
        <is>
          <t>2025</t>
        </is>
      </c>
      <c r="D10" s="16" t="inlineStr">
        <is>
          <t>Cornea</t>
        </is>
      </c>
      <c r="E10" s="16" t="inlineStr">
        <is>
          <t>P3/P4</t>
        </is>
      </c>
      <c r="F10" s="16" t="inlineStr">
        <is>
          <t>Pax6Sey-Neu/+ transparent</t>
        </is>
      </c>
      <c r="G10" s="17" t="n">
        <v>45812306</v>
      </c>
      <c r="H10" s="18" t="n">
        <v>0.9669</v>
      </c>
      <c r="I10" s="16" t="inlineStr">
        <is>
          <t>none detected (TruSeq3-PE)</t>
        </is>
      </c>
      <c r="J10" s="18" t="n">
        <v>0.9094</v>
      </c>
      <c r="K10" s="18" t="n">
        <v>0.7964</v>
      </c>
      <c r="L10" s="17" t="n">
        <v>32780950</v>
      </c>
      <c r="M10" s="18" t="n">
        <v>0.679</v>
      </c>
      <c r="N10" s="18" t="n">
        <v>0.927</v>
      </c>
      <c r="O10" s="17" t="n">
        <v>35165822</v>
      </c>
      <c r="P10" s="17" t="n">
        <v>35165822</v>
      </c>
      <c r="Q10" s="17">
        <f>O10-P10</f>
        <v/>
      </c>
      <c r="R10" s="17" t="n">
        <v>4</v>
      </c>
    </row>
    <row r="11" ht="15" customHeight="1" s="12">
      <c r="A11" s="16" t="inlineStr">
        <is>
          <t>B_CU3</t>
        </is>
      </c>
      <c r="B11" s="16" t="inlineStr">
        <is>
          <t>This study (GSE348661)</t>
        </is>
      </c>
      <c r="C11" s="16" t="inlineStr">
        <is>
          <t>2026</t>
        </is>
      </c>
      <c r="D11" s="16" t="inlineStr">
        <is>
          <t>Cornea</t>
        </is>
      </c>
      <c r="E11" s="16" t="inlineStr">
        <is>
          <t>P3/P4</t>
        </is>
      </c>
      <c r="F11" s="16" t="inlineStr">
        <is>
          <t>Pax6Sey-Neu/+ transparent</t>
        </is>
      </c>
      <c r="G11" s="17" t="n">
        <v>52461441</v>
      </c>
      <c r="H11" s="18" t="n">
        <v>0.9813</v>
      </c>
      <c r="I11" s="16" t="inlineStr">
        <is>
          <t>none detected (TruSeq3-PE)</t>
        </is>
      </c>
      <c r="J11" s="18" t="n">
        <v>0.9479</v>
      </c>
      <c r="K11" s="18" t="n">
        <v>0.8653</v>
      </c>
      <c r="L11" s="17" t="n">
        <v>39014559</v>
      </c>
      <c r="M11" s="18" t="n">
        <v>0.6830000000000001</v>
      </c>
      <c r="N11" s="18" t="n">
        <v>0.875</v>
      </c>
      <c r="O11" s="17" t="n">
        <v>42161151</v>
      </c>
      <c r="P11" s="17" t="n">
        <v>42161140</v>
      </c>
      <c r="Q11" s="17">
        <f>O11-P11</f>
        <v/>
      </c>
      <c r="R11" s="17" t="n">
        <v>4</v>
      </c>
    </row>
    <row r="12" ht="15" customHeight="1" s="12">
      <c r="A12" s="16" t="inlineStr">
        <is>
          <t>B_CU4</t>
        </is>
      </c>
      <c r="B12" s="16" t="inlineStr">
        <is>
          <t>This study (GSE348661)</t>
        </is>
      </c>
      <c r="C12" s="16" t="inlineStr">
        <is>
          <t>2026</t>
        </is>
      </c>
      <c r="D12" s="16" t="inlineStr">
        <is>
          <t>Cornea</t>
        </is>
      </c>
      <c r="E12" s="16" t="inlineStr">
        <is>
          <t>P3/P4</t>
        </is>
      </c>
      <c r="F12" s="16" t="inlineStr">
        <is>
          <t>Pax6Sey-Neu/+ transparent</t>
        </is>
      </c>
      <c r="G12" s="17" t="n">
        <v>54849647</v>
      </c>
      <c r="H12" s="18" t="n">
        <v>0.9808</v>
      </c>
      <c r="I12" s="16" t="inlineStr">
        <is>
          <t>none detected (TruSeq3-PE)</t>
        </is>
      </c>
      <c r="J12" s="18" t="n">
        <v>0.9581</v>
      </c>
      <c r="K12" s="18" t="n">
        <v>0.8829</v>
      </c>
      <c r="L12" s="17" t="n">
        <v>42290142</v>
      </c>
      <c r="M12" s="18" t="n">
        <v>0.6909999999999999</v>
      </c>
      <c r="N12" s="18" t="n">
        <v>0.889</v>
      </c>
      <c r="O12" s="17" t="n">
        <v>45431146</v>
      </c>
      <c r="P12" s="17" t="n">
        <v>45431140</v>
      </c>
      <c r="Q12" s="17">
        <f>O12-P12</f>
        <v/>
      </c>
      <c r="R12" s="17" t="n">
        <v>4</v>
      </c>
    </row>
    <row r="13" ht="15" customHeight="1" s="12">
      <c r="A13" s="16" t="inlineStr">
        <is>
          <t>B_CU5</t>
        </is>
      </c>
      <c r="B13" s="16" t="inlineStr">
        <is>
          <t>This study (GSE348661)</t>
        </is>
      </c>
      <c r="C13" s="16" t="inlineStr">
        <is>
          <t>2026</t>
        </is>
      </c>
      <c r="D13" s="16" t="inlineStr">
        <is>
          <t>Cornea</t>
        </is>
      </c>
      <c r="E13" s="16" t="inlineStr">
        <is>
          <t>P3/P4</t>
        </is>
      </c>
      <c r="F13" s="16" t="inlineStr">
        <is>
          <t>Pax6Sey-Neu/+ transparent</t>
        </is>
      </c>
      <c r="G13" s="17" t="n">
        <v>49217824</v>
      </c>
      <c r="H13" s="18" t="n">
        <v>0.9838</v>
      </c>
      <c r="I13" s="16" t="inlineStr">
        <is>
          <t>none detected (TruSeq3-PE)</t>
        </is>
      </c>
      <c r="J13" s="18" t="n">
        <v>0.9754</v>
      </c>
      <c r="K13" s="18" t="n">
        <v>0.8951</v>
      </c>
      <c r="L13" s="17" t="n">
        <v>35795253</v>
      </c>
      <c r="M13" s="18" t="n">
        <v>0.666</v>
      </c>
      <c r="N13" s="18" t="n">
        <v>0.825</v>
      </c>
      <c r="O13" s="17" t="n">
        <v>38014257</v>
      </c>
      <c r="P13" s="17" t="n">
        <v>38014261</v>
      </c>
      <c r="Q13" s="17">
        <f>O13-P13</f>
        <v/>
      </c>
      <c r="R13" s="17" t="n">
        <v>2</v>
      </c>
    </row>
    <row r="14" ht="15" customHeight="1" s="12">
      <c r="A14" s="16" t="inlineStr">
        <is>
          <t>K_CW1</t>
        </is>
      </c>
      <c r="B14" s="16" t="inlineStr">
        <is>
          <t>This study (GSE348661)</t>
        </is>
      </c>
      <c r="C14" s="16" t="inlineStr">
        <is>
          <t>2025</t>
        </is>
      </c>
      <c r="D14" s="16" t="inlineStr">
        <is>
          <t>Cornea</t>
        </is>
      </c>
      <c r="E14" s="16" t="inlineStr">
        <is>
          <t>P15</t>
        </is>
      </c>
      <c r="F14" s="16" t="inlineStr">
        <is>
          <t>Pax6+/+</t>
        </is>
      </c>
      <c r="G14" s="17" t="n">
        <v>59873047</v>
      </c>
      <c r="H14" s="18" t="n">
        <v>0.9724</v>
      </c>
      <c r="I14" s="16" t="inlineStr">
        <is>
          <t>none detected (TruSeq3-PE)</t>
        </is>
      </c>
      <c r="J14" s="18" t="n">
        <v>0.8887</v>
      </c>
      <c r="K14" s="18" t="n">
        <v>0.7519</v>
      </c>
      <c r="L14" s="17" t="n">
        <v>41818208</v>
      </c>
      <c r="M14" s="18" t="n">
        <v>0.668</v>
      </c>
      <c r="N14" s="18" t="n">
        <v>0.952</v>
      </c>
      <c r="O14" s="17" t="n">
        <v>45606327</v>
      </c>
      <c r="P14" s="17" t="n">
        <v>45606306</v>
      </c>
      <c r="Q14" s="17">
        <f>O14-P14</f>
        <v/>
      </c>
      <c r="R14" s="17" t="n">
        <v>8</v>
      </c>
    </row>
    <row r="15" ht="15" customHeight="1" s="12">
      <c r="A15" s="16" t="inlineStr">
        <is>
          <t>K_CW2</t>
        </is>
      </c>
      <c r="B15" s="16" t="inlineStr">
        <is>
          <t>This study (GSE348661)</t>
        </is>
      </c>
      <c r="C15" s="16" t="inlineStr">
        <is>
          <t>2025</t>
        </is>
      </c>
      <c r="D15" s="16" t="inlineStr">
        <is>
          <t>Cornea</t>
        </is>
      </c>
      <c r="E15" s="16" t="inlineStr">
        <is>
          <t>P15</t>
        </is>
      </c>
      <c r="F15" s="16" t="inlineStr">
        <is>
          <t>Pax6+/+</t>
        </is>
      </c>
      <c r="G15" s="17" t="n">
        <v>46873058</v>
      </c>
      <c r="H15" s="18" t="n">
        <v>0.9703000000000001</v>
      </c>
      <c r="I15" s="16" t="inlineStr">
        <is>
          <t>none detected (TruSeq3-PE)</t>
        </is>
      </c>
      <c r="J15" s="18" t="n">
        <v>0.9059</v>
      </c>
      <c r="K15" s="18" t="n">
        <v>0.7945</v>
      </c>
      <c r="L15" s="17" t="n">
        <v>34477179</v>
      </c>
      <c r="M15" s="18" t="n">
        <v>0.709</v>
      </c>
      <c r="N15" s="18" t="n">
        <v>0.951</v>
      </c>
      <c r="O15" s="17" t="n">
        <v>37402183</v>
      </c>
      <c r="P15" s="17" t="n">
        <v>37402169</v>
      </c>
      <c r="Q15" s="17">
        <f>O15-P15</f>
        <v/>
      </c>
      <c r="R15" s="17" t="n">
        <v>5</v>
      </c>
    </row>
    <row r="16" ht="15" customHeight="1" s="12">
      <c r="A16" s="16" t="inlineStr">
        <is>
          <t>K_CW3</t>
        </is>
      </c>
      <c r="B16" s="16" t="inlineStr">
        <is>
          <t>This study (GSE348661)</t>
        </is>
      </c>
      <c r="C16" s="16" t="inlineStr">
        <is>
          <t>2026</t>
        </is>
      </c>
      <c r="D16" s="16" t="inlineStr">
        <is>
          <t>Cornea</t>
        </is>
      </c>
      <c r="E16" s="16" t="inlineStr">
        <is>
          <t>P15</t>
        </is>
      </c>
      <c r="F16" s="16" t="inlineStr">
        <is>
          <t>Pax6+/+</t>
        </is>
      </c>
      <c r="G16" s="17" t="n">
        <v>57400499</v>
      </c>
      <c r="H16" s="18" t="n">
        <v>0.9838</v>
      </c>
      <c r="I16" s="16" t="inlineStr">
        <is>
          <t>none detected (TruSeq3-PE)</t>
        </is>
      </c>
      <c r="J16" s="18" t="n">
        <v>0.9464</v>
      </c>
      <c r="K16" s="18" t="n">
        <v>0.8511</v>
      </c>
      <c r="L16" s="17" t="n">
        <v>41883434</v>
      </c>
      <c r="M16" s="18" t="n">
        <v>0.677</v>
      </c>
      <c r="N16" s="18" t="n">
        <v>0.865</v>
      </c>
      <c r="O16" s="17" t="n">
        <v>44184020</v>
      </c>
      <c r="P16" s="17" t="n">
        <v>44184016</v>
      </c>
      <c r="Q16" s="17">
        <f>O16-P16</f>
        <v/>
      </c>
      <c r="R16" s="17" t="n">
        <v>3</v>
      </c>
    </row>
    <row r="17" ht="15" customHeight="1" s="12">
      <c r="A17" s="16" t="inlineStr">
        <is>
          <t>K_CW4</t>
        </is>
      </c>
      <c r="B17" s="16" t="inlineStr">
        <is>
          <t>This study (GSE348661)</t>
        </is>
      </c>
      <c r="C17" s="16" t="inlineStr">
        <is>
          <t>2026</t>
        </is>
      </c>
      <c r="D17" s="16" t="inlineStr">
        <is>
          <t>Cornea</t>
        </is>
      </c>
      <c r="E17" s="16" t="inlineStr">
        <is>
          <t>P15</t>
        </is>
      </c>
      <c r="F17" s="16" t="inlineStr">
        <is>
          <t>Pax6+/+</t>
        </is>
      </c>
      <c r="G17" s="17" t="n">
        <v>50954499</v>
      </c>
      <c r="H17" s="18" t="n">
        <v>0.9834000000000001</v>
      </c>
      <c r="I17" s="16" t="inlineStr">
        <is>
          <t>none detected (TruSeq3-PE)</t>
        </is>
      </c>
      <c r="J17" s="18" t="n">
        <v>0.9691</v>
      </c>
      <c r="K17" s="18" t="n">
        <v>0.9141</v>
      </c>
      <c r="L17" s="17" t="n">
        <v>37809402</v>
      </c>
      <c r="M17" s="18" t="n">
        <v>0.703</v>
      </c>
      <c r="N17" s="18" t="n">
        <v>0.825</v>
      </c>
      <c r="O17" s="17" t="n">
        <v>41004749</v>
      </c>
      <c r="P17" s="17" t="n">
        <v>41004739</v>
      </c>
      <c r="Q17" s="17">
        <f>O17-P17</f>
        <v/>
      </c>
      <c r="R17" s="17" t="n">
        <v>3</v>
      </c>
    </row>
    <row r="18" ht="15" customHeight="1" s="12">
      <c r="A18" s="16" t="inlineStr">
        <is>
          <t>K_CW5</t>
        </is>
      </c>
      <c r="B18" s="16" t="inlineStr">
        <is>
          <t>This study (GSE348661)</t>
        </is>
      </c>
      <c r="C18" s="16" t="inlineStr">
        <is>
          <t>2026</t>
        </is>
      </c>
      <c r="D18" s="16" t="inlineStr">
        <is>
          <t>Cornea</t>
        </is>
      </c>
      <c r="E18" s="16" t="inlineStr">
        <is>
          <t>P15</t>
        </is>
      </c>
      <c r="F18" s="16" t="inlineStr">
        <is>
          <t>Pax6+/+</t>
        </is>
      </c>
      <c r="G18" s="17" t="n">
        <v>51709877</v>
      </c>
      <c r="H18" s="18" t="n">
        <v>0.9848</v>
      </c>
      <c r="I18" s="16" t="inlineStr">
        <is>
          <t>none detected (TruSeq3-PE)</t>
        </is>
      </c>
      <c r="J18" s="18" t="n">
        <v>0.9755</v>
      </c>
      <c r="K18" s="18" t="n">
        <v>0.9169</v>
      </c>
      <c r="L18" s="17" t="n">
        <v>40125142</v>
      </c>
      <c r="M18" s="18" t="n">
        <v>0.731</v>
      </c>
      <c r="N18" s="18" t="n">
        <v>0.859</v>
      </c>
      <c r="O18" s="17" t="n">
        <v>43257469</v>
      </c>
      <c r="P18" s="17" t="n">
        <v>43257457</v>
      </c>
      <c r="Q18" s="17">
        <f>O18-P18</f>
        <v/>
      </c>
      <c r="R18" s="17" t="n">
        <v>2</v>
      </c>
    </row>
    <row r="19" ht="15" customHeight="1" s="12">
      <c r="A19" s="16" t="inlineStr">
        <is>
          <t>K_CU1</t>
        </is>
      </c>
      <c r="B19" s="16" t="inlineStr">
        <is>
          <t>This study (GSE348661)</t>
        </is>
      </c>
      <c r="C19" s="16" t="inlineStr">
        <is>
          <t>2025</t>
        </is>
      </c>
      <c r="D19" s="16" t="inlineStr">
        <is>
          <t>Cornea</t>
        </is>
      </c>
      <c r="E19" s="16" t="inlineStr">
        <is>
          <t>P15</t>
        </is>
      </c>
      <c r="F19" s="16" t="inlineStr">
        <is>
          <t>Pax6Sey-Neu/+ transparent</t>
        </is>
      </c>
      <c r="G19" s="17" t="n">
        <v>47536543</v>
      </c>
      <c r="H19" s="18" t="n">
        <v>0.9698</v>
      </c>
      <c r="I19" s="16" t="inlineStr">
        <is>
          <t>none detected (TruSeq3-PE)</t>
        </is>
      </c>
      <c r="J19" s="18" t="n">
        <v>0.9006</v>
      </c>
      <c r="K19" s="18" t="n">
        <v>0.7835</v>
      </c>
      <c r="L19" s="17" t="n">
        <v>34412762</v>
      </c>
      <c r="M19" s="18" t="n">
        <v>0.6919999999999999</v>
      </c>
      <c r="N19" s="18" t="n">
        <v>0.95</v>
      </c>
      <c r="O19" s="17" t="n">
        <v>37041178</v>
      </c>
      <c r="P19" s="17" t="n">
        <v>37041178</v>
      </c>
      <c r="Q19" s="17">
        <f>O19-P19</f>
        <v/>
      </c>
      <c r="R19" s="17" t="n">
        <v>2</v>
      </c>
    </row>
    <row r="20" ht="15" customHeight="1" s="12">
      <c r="A20" s="16" t="inlineStr">
        <is>
          <t>K_CU2</t>
        </is>
      </c>
      <c r="B20" s="16" t="inlineStr">
        <is>
          <t>This study (GSE348661)</t>
        </is>
      </c>
      <c r="C20" s="16" t="inlineStr">
        <is>
          <t>2025</t>
        </is>
      </c>
      <c r="D20" s="16" t="inlineStr">
        <is>
          <t>Cornea</t>
        </is>
      </c>
      <c r="E20" s="16" t="inlineStr">
        <is>
          <t>P15</t>
        </is>
      </c>
      <c r="F20" s="16" t="inlineStr">
        <is>
          <t>Pax6Sey-Neu/+ transparent</t>
        </is>
      </c>
      <c r="G20" s="17" t="n">
        <v>47509917</v>
      </c>
      <c r="H20" s="18" t="n">
        <v>0.9691</v>
      </c>
      <c r="I20" s="16" t="inlineStr">
        <is>
          <t>none detected (TruSeq3-PE)</t>
        </is>
      </c>
      <c r="J20" s="18" t="n">
        <v>0.8989</v>
      </c>
      <c r="K20" s="18" t="n">
        <v>0.7697000000000001</v>
      </c>
      <c r="L20" s="17" t="n">
        <v>33973635</v>
      </c>
      <c r="M20" s="18" t="n">
        <v>0.6870000000000001</v>
      </c>
      <c r="N20" s="18" t="n">
        <v>0.956</v>
      </c>
      <c r="O20" s="17" t="n">
        <v>36483802</v>
      </c>
      <c r="P20" s="17" t="n">
        <v>36483802</v>
      </c>
      <c r="Q20" s="17">
        <f>O20-P20</f>
        <v/>
      </c>
      <c r="R20" s="17" t="n">
        <v>4</v>
      </c>
    </row>
    <row r="21" ht="15" customHeight="1" s="12">
      <c r="A21" s="16" t="inlineStr">
        <is>
          <t>K_CU3</t>
        </is>
      </c>
      <c r="B21" s="16" t="inlineStr">
        <is>
          <t>This study (GSE348661)</t>
        </is>
      </c>
      <c r="C21" s="16" t="inlineStr">
        <is>
          <t>2026</t>
        </is>
      </c>
      <c r="D21" s="16" t="inlineStr">
        <is>
          <t>Cornea</t>
        </is>
      </c>
      <c r="E21" s="16" t="inlineStr">
        <is>
          <t>P15</t>
        </is>
      </c>
      <c r="F21" s="16" t="inlineStr">
        <is>
          <t>Pax6Sey-Neu/+ transparent</t>
        </is>
      </c>
      <c r="G21" s="17" t="n">
        <v>53485381</v>
      </c>
      <c r="H21" s="18" t="n">
        <v>0.9853</v>
      </c>
      <c r="I21" s="16" t="inlineStr">
        <is>
          <t>none detected (TruSeq3-PE)</t>
        </is>
      </c>
      <c r="J21" s="18" t="n">
        <v>0.9758</v>
      </c>
      <c r="K21" s="18" t="n">
        <v>0.9105</v>
      </c>
      <c r="L21" s="17" t="n">
        <v>39979613</v>
      </c>
      <c r="M21" s="18" t="n">
        <v>0.6919999999999999</v>
      </c>
      <c r="N21" s="18" t="n">
        <v>0.832</v>
      </c>
      <c r="O21" s="17" t="n">
        <v>42330835</v>
      </c>
      <c r="P21" s="17" t="n">
        <v>42330834</v>
      </c>
      <c r="Q21" s="17">
        <f>O21-P21</f>
        <v/>
      </c>
      <c r="R21" s="17" t="n">
        <v>1</v>
      </c>
    </row>
    <row r="22" ht="15" customHeight="1" s="12">
      <c r="A22" s="16" t="inlineStr">
        <is>
          <t>K_CU4</t>
        </is>
      </c>
      <c r="B22" s="16" t="inlineStr">
        <is>
          <t>This study (GSE348661)</t>
        </is>
      </c>
      <c r="C22" s="16" t="inlineStr">
        <is>
          <t>2026</t>
        </is>
      </c>
      <c r="D22" s="16" t="inlineStr">
        <is>
          <t>Cornea</t>
        </is>
      </c>
      <c r="E22" s="16" t="inlineStr">
        <is>
          <t>P15</t>
        </is>
      </c>
      <c r="F22" s="16" t="inlineStr">
        <is>
          <t>Pax6Sey-Neu/+ transparent</t>
        </is>
      </c>
      <c r="G22" s="17" t="n">
        <v>60631701</v>
      </c>
      <c r="H22" s="18" t="n">
        <v>0.9844000000000001</v>
      </c>
      <c r="I22" s="16" t="inlineStr">
        <is>
          <t>none detected (TruSeq3-PE)</t>
        </is>
      </c>
      <c r="J22" s="18" t="n">
        <v>0.9733000000000001</v>
      </c>
      <c r="K22" s="18" t="n">
        <v>0.911</v>
      </c>
      <c r="L22" s="17" t="n">
        <v>44142635</v>
      </c>
      <c r="M22" s="18" t="n">
        <v>0.681</v>
      </c>
      <c r="N22" s="18" t="n">
        <v>0.8110000000000001</v>
      </c>
      <c r="O22" s="17" t="n">
        <v>46921265</v>
      </c>
      <c r="P22" s="17" t="n">
        <v>46921266</v>
      </c>
      <c r="Q22" s="17">
        <f>O22-P22</f>
        <v/>
      </c>
      <c r="R22" s="17" t="n">
        <v>7</v>
      </c>
    </row>
    <row r="23" ht="15" customHeight="1" s="12">
      <c r="A23" s="16" t="inlineStr">
        <is>
          <t>K_CU5</t>
        </is>
      </c>
      <c r="B23" s="16" t="inlineStr">
        <is>
          <t>This study (GSE348661)</t>
        </is>
      </c>
      <c r="C23" s="16" t="inlineStr">
        <is>
          <t>2026</t>
        </is>
      </c>
      <c r="D23" s="16" t="inlineStr">
        <is>
          <t>Cornea</t>
        </is>
      </c>
      <c r="E23" s="16" t="inlineStr">
        <is>
          <t>P15</t>
        </is>
      </c>
      <c r="F23" s="16" t="inlineStr">
        <is>
          <t>Pax6Sey-Neu/+ transparent</t>
        </is>
      </c>
      <c r="G23" s="17" t="n">
        <v>54398268</v>
      </c>
      <c r="H23" s="18" t="n">
        <v>0.9833</v>
      </c>
      <c r="I23" s="16" t="inlineStr">
        <is>
          <t>none detected (TruSeq3-PE)</t>
        </is>
      </c>
      <c r="J23" s="18" t="n">
        <v>0.9784</v>
      </c>
      <c r="K23" s="18" t="n">
        <v>0.9235</v>
      </c>
      <c r="L23" s="17" t="n">
        <v>44951139</v>
      </c>
      <c r="M23" s="18" t="n">
        <v>0.781</v>
      </c>
      <c r="N23" s="18" t="n">
        <v>0.909</v>
      </c>
      <c r="O23" s="17" t="n">
        <v>48270108</v>
      </c>
      <c r="P23" s="17" t="n">
        <v>48270077</v>
      </c>
      <c r="Q23" s="17">
        <f>O23-P23</f>
        <v/>
      </c>
      <c r="R23" s="17" t="n">
        <v>6</v>
      </c>
    </row>
    <row r="24" ht="15" customHeight="1" s="12">
      <c r="A24" s="16" t="inlineStr">
        <is>
          <t>A_CW1</t>
        </is>
      </c>
      <c r="B24" s="16" t="inlineStr">
        <is>
          <t>This study (GSE348661)</t>
        </is>
      </c>
      <c r="C24" s="16" t="inlineStr">
        <is>
          <t>2025</t>
        </is>
      </c>
      <c r="D24" s="16" t="inlineStr">
        <is>
          <t>Cornea</t>
        </is>
      </c>
      <c r="E24" s="16" t="inlineStr">
        <is>
          <t>Adult (3–8 mo)</t>
        </is>
      </c>
      <c r="F24" s="16" t="inlineStr">
        <is>
          <t>Pax6+/+</t>
        </is>
      </c>
      <c r="G24" s="17" t="n">
        <v>61104842</v>
      </c>
      <c r="H24" s="18" t="n">
        <v>0.9703000000000001</v>
      </c>
      <c r="I24" s="16" t="inlineStr">
        <is>
          <t>none detected (TruSeq3-PE)</t>
        </is>
      </c>
      <c r="J24" s="18" t="n">
        <v>0.8692</v>
      </c>
      <c r="K24" s="18" t="n">
        <v>0.7269</v>
      </c>
      <c r="L24" s="17" t="n">
        <v>41592017</v>
      </c>
      <c r="M24" s="18" t="n">
        <v>0.653</v>
      </c>
      <c r="N24" s="18" t="n">
        <v>0.961</v>
      </c>
      <c r="O24" s="17" t="n">
        <v>45606754</v>
      </c>
      <c r="P24" s="17" t="n">
        <v>45606770</v>
      </c>
      <c r="Q24" s="17">
        <f>O24-P24</f>
        <v/>
      </c>
      <c r="R24" s="17" t="n">
        <v>26</v>
      </c>
    </row>
    <row r="25" ht="15" customHeight="1" s="12">
      <c r="A25" s="16" t="inlineStr">
        <is>
          <t>A_CW2</t>
        </is>
      </c>
      <c r="B25" s="16" t="inlineStr">
        <is>
          <t>This study (GSE348661)</t>
        </is>
      </c>
      <c r="C25" s="16" t="inlineStr">
        <is>
          <t>2025</t>
        </is>
      </c>
      <c r="D25" s="16" t="inlineStr">
        <is>
          <t>Cornea</t>
        </is>
      </c>
      <c r="E25" s="16" t="inlineStr">
        <is>
          <t>Adult (3–8 mo)</t>
        </is>
      </c>
      <c r="F25" s="16" t="inlineStr">
        <is>
          <t>Pax6+/+</t>
        </is>
      </c>
      <c r="G25" s="17" t="n">
        <v>55689370</v>
      </c>
      <c r="H25" s="18" t="n">
        <v>0.9727</v>
      </c>
      <c r="I25" s="16" t="inlineStr">
        <is>
          <t>none detected (TruSeq3-PE)</t>
        </is>
      </c>
      <c r="J25" s="18" t="n">
        <v>0.8856000000000001</v>
      </c>
      <c r="K25" s="18" t="n">
        <v>0.7587</v>
      </c>
      <c r="L25" s="17" t="n">
        <v>38858640</v>
      </c>
      <c r="M25" s="18" t="n">
        <v>0.668</v>
      </c>
      <c r="N25" s="18" t="n">
        <v>0.9419999999999999</v>
      </c>
      <c r="O25" s="17" t="n">
        <v>42488413</v>
      </c>
      <c r="P25" s="17" t="n">
        <v>42488403</v>
      </c>
      <c r="Q25" s="17">
        <f>O25-P25</f>
        <v/>
      </c>
      <c r="R25" s="17" t="n">
        <v>2</v>
      </c>
    </row>
    <row r="26" ht="15" customHeight="1" s="12">
      <c r="A26" s="16" t="inlineStr">
        <is>
          <t>A_CW3</t>
        </is>
      </c>
      <c r="B26" s="16" t="inlineStr">
        <is>
          <t>This study (GSE348661)</t>
        </is>
      </c>
      <c r="C26" s="16" t="inlineStr">
        <is>
          <t>2026</t>
        </is>
      </c>
      <c r="D26" s="16" t="inlineStr">
        <is>
          <t>Cornea</t>
        </is>
      </c>
      <c r="E26" s="16" t="inlineStr">
        <is>
          <t>Adult (3–8 mo)</t>
        </is>
      </c>
      <c r="F26" s="16" t="inlineStr">
        <is>
          <t>Pax6+/+</t>
        </is>
      </c>
      <c r="G26" s="17" t="n">
        <v>66449132</v>
      </c>
      <c r="H26" s="18" t="n">
        <v>0.9826</v>
      </c>
      <c r="I26" s="16" t="inlineStr">
        <is>
          <t>none detected (TruSeq3-PE)</t>
        </is>
      </c>
      <c r="J26" s="18" t="n">
        <v>0.9379</v>
      </c>
      <c r="K26" s="18" t="n">
        <v>0.8451</v>
      </c>
      <c r="L26" s="17" t="n">
        <v>48351546</v>
      </c>
      <c r="M26" s="18" t="n">
        <v>0.674</v>
      </c>
      <c r="N26" s="18" t="n">
        <v>0.867</v>
      </c>
      <c r="O26" s="17" t="n">
        <v>51092098</v>
      </c>
      <c r="P26" s="17" t="n">
        <v>51092097</v>
      </c>
      <c r="Q26" s="17">
        <f>O26-P26</f>
        <v/>
      </c>
      <c r="R26" s="17" t="n">
        <v>2</v>
      </c>
    </row>
    <row r="27" ht="15" customHeight="1" s="12">
      <c r="A27" s="16" t="inlineStr">
        <is>
          <t>A_CW4</t>
        </is>
      </c>
      <c r="B27" s="16" t="inlineStr">
        <is>
          <t>This study (GSE348661)</t>
        </is>
      </c>
      <c r="C27" s="16" t="inlineStr">
        <is>
          <t>2026</t>
        </is>
      </c>
      <c r="D27" s="16" t="inlineStr">
        <is>
          <t>Cornea</t>
        </is>
      </c>
      <c r="E27" s="16" t="inlineStr">
        <is>
          <t>Adult (3–8 mo)</t>
        </is>
      </c>
      <c r="F27" s="16" t="inlineStr">
        <is>
          <t>Pax6+/+</t>
        </is>
      </c>
      <c r="G27" s="17" t="n">
        <v>63523518</v>
      </c>
      <c r="H27" s="18" t="n">
        <v>0.9827</v>
      </c>
      <c r="I27" s="16" t="inlineStr">
        <is>
          <t>none detected (TruSeq3-PE)</t>
        </is>
      </c>
      <c r="J27" s="18" t="n">
        <v>0.971</v>
      </c>
      <c r="K27" s="18" t="n">
        <v>0.8994</v>
      </c>
      <c r="L27" s="17" t="n">
        <v>50770414</v>
      </c>
      <c r="M27" s="18" t="n">
        <v>0.752</v>
      </c>
      <c r="N27" s="18" t="n">
        <v>0.902</v>
      </c>
      <c r="O27" s="17" t="n">
        <v>53958200</v>
      </c>
      <c r="P27" s="17" t="n">
        <v>53958199</v>
      </c>
      <c r="Q27" s="17">
        <f>O27-P27</f>
        <v/>
      </c>
      <c r="R27" s="17" t="n">
        <v>1</v>
      </c>
    </row>
    <row r="28" ht="15" customHeight="1" s="12">
      <c r="A28" s="16" t="inlineStr">
        <is>
          <t>A_CW5</t>
        </is>
      </c>
      <c r="B28" s="16" t="inlineStr">
        <is>
          <t>This study (GSE348661)</t>
        </is>
      </c>
      <c r="C28" s="16" t="inlineStr">
        <is>
          <t>2026</t>
        </is>
      </c>
      <c r="D28" s="16" t="inlineStr">
        <is>
          <t>Cornea</t>
        </is>
      </c>
      <c r="E28" s="16" t="inlineStr">
        <is>
          <t>Adult (3–8 mo)</t>
        </is>
      </c>
      <c r="F28" s="16" t="inlineStr">
        <is>
          <t>Pax6+/+</t>
        </is>
      </c>
      <c r="G28" s="17" t="n">
        <v>60132557</v>
      </c>
      <c r="H28" s="18" t="n">
        <v>0.9824000000000001</v>
      </c>
      <c r="I28" s="16" t="inlineStr">
        <is>
          <t>none detected (TruSeq3-PE)</t>
        </is>
      </c>
      <c r="J28" s="18" t="n">
        <v>0.9627</v>
      </c>
      <c r="K28" s="18" t="n">
        <v>0.8745000000000001</v>
      </c>
      <c r="L28" s="17" t="n">
        <v>46400885</v>
      </c>
      <c r="M28" s="18" t="n">
        <v>0.718</v>
      </c>
      <c r="N28" s="18" t="n">
        <v>0.894</v>
      </c>
      <c r="O28" s="17" t="n">
        <v>49111188</v>
      </c>
      <c r="P28" s="17" t="n">
        <v>49111186</v>
      </c>
      <c r="Q28" s="17">
        <f>O28-P28</f>
        <v/>
      </c>
      <c r="R28" s="17" t="n">
        <v>1</v>
      </c>
    </row>
    <row r="29" ht="15" customHeight="1" s="12">
      <c r="A29" s="16" t="inlineStr">
        <is>
          <t>A_CU1</t>
        </is>
      </c>
      <c r="B29" s="16" t="inlineStr">
        <is>
          <t>This study (GSE348661)</t>
        </is>
      </c>
      <c r="C29" s="16" t="inlineStr">
        <is>
          <t>2025</t>
        </is>
      </c>
      <c r="D29" s="16" t="inlineStr">
        <is>
          <t>Cornea</t>
        </is>
      </c>
      <c r="E29" s="16" t="inlineStr">
        <is>
          <t>Adult (3–8 mo)</t>
        </is>
      </c>
      <c r="F29" s="16" t="inlineStr">
        <is>
          <t>Pax6Sey-Neu/+ transparent</t>
        </is>
      </c>
      <c r="G29" s="17" t="n">
        <v>41898088</v>
      </c>
      <c r="H29" s="18" t="n">
        <v>0.9669</v>
      </c>
      <c r="I29" s="16" t="inlineStr">
        <is>
          <t>none detected (TruSeq3-PE)</t>
        </is>
      </c>
      <c r="J29" s="18" t="n">
        <v>0.8796</v>
      </c>
      <c r="K29" s="18" t="n">
        <v>0.7271</v>
      </c>
      <c r="L29" s="17" t="n">
        <v>28459792</v>
      </c>
      <c r="M29" s="18" t="n">
        <v>0.651</v>
      </c>
      <c r="N29" s="18" t="n">
        <v>0.962</v>
      </c>
      <c r="O29" s="17" t="n">
        <v>30950430</v>
      </c>
      <c r="P29" s="17" t="n">
        <v>30950407</v>
      </c>
      <c r="Q29" s="17">
        <f>O29-P29</f>
        <v/>
      </c>
      <c r="R29" s="17" t="n">
        <v>5</v>
      </c>
    </row>
    <row r="30" ht="15" customHeight="1" s="12">
      <c r="A30" s="16" t="inlineStr">
        <is>
          <t>A_CU2</t>
        </is>
      </c>
      <c r="B30" s="16" t="inlineStr">
        <is>
          <t>This study (GSE348661)</t>
        </is>
      </c>
      <c r="C30" s="16" t="inlineStr">
        <is>
          <t>2025</t>
        </is>
      </c>
      <c r="D30" s="16" t="inlineStr">
        <is>
          <t>Cornea</t>
        </is>
      </c>
      <c r="E30" s="16" t="inlineStr">
        <is>
          <t>Adult (3–8 mo)</t>
        </is>
      </c>
      <c r="F30" s="16" t="inlineStr">
        <is>
          <t>Pax6Sey-Neu/+ transparent</t>
        </is>
      </c>
      <c r="G30" s="17" t="n">
        <v>57169171</v>
      </c>
      <c r="H30" s="18" t="n">
        <v>0.9722</v>
      </c>
      <c r="I30" s="16" t="inlineStr">
        <is>
          <t>none detected (TruSeq3-PE)</t>
        </is>
      </c>
      <c r="J30" s="18" t="n">
        <v>0.8938</v>
      </c>
      <c r="K30" s="18" t="n">
        <v>0.7574</v>
      </c>
      <c r="L30" s="17" t="n">
        <v>39893690</v>
      </c>
      <c r="M30" s="18" t="n">
        <v>0.665</v>
      </c>
      <c r="N30" s="18" t="n">
        <v>0.944</v>
      </c>
      <c r="O30" s="17" t="n">
        <v>43327549</v>
      </c>
      <c r="P30" s="17" t="n">
        <v>43327525</v>
      </c>
      <c r="Q30" s="17">
        <f>O30-P30</f>
        <v/>
      </c>
      <c r="R30" s="17" t="n">
        <v>4</v>
      </c>
    </row>
    <row r="31" ht="15" customHeight="1" s="12">
      <c r="A31" s="16" t="inlineStr">
        <is>
          <t>A_CU3</t>
        </is>
      </c>
      <c r="B31" s="16" t="inlineStr">
        <is>
          <t>This study (GSE348661)</t>
        </is>
      </c>
      <c r="C31" s="16" t="inlineStr">
        <is>
          <t>2026</t>
        </is>
      </c>
      <c r="D31" s="16" t="inlineStr">
        <is>
          <t>Cornea</t>
        </is>
      </c>
      <c r="E31" s="16" t="inlineStr">
        <is>
          <t>Adult (3–8 mo)</t>
        </is>
      </c>
      <c r="F31" s="16" t="inlineStr">
        <is>
          <t>Pax6Sey-Neu/+ transparent</t>
        </is>
      </c>
      <c r="G31" s="17" t="n">
        <v>60868460</v>
      </c>
      <c r="H31" s="18" t="n">
        <v>0.9838</v>
      </c>
      <c r="I31" s="16" t="inlineStr">
        <is>
          <t>none detected (TruSeq3-PE)</t>
        </is>
      </c>
      <c r="J31" s="18" t="n">
        <v>0.9748</v>
      </c>
      <c r="K31" s="18" t="n">
        <v>0.9104</v>
      </c>
      <c r="L31" s="17" t="n">
        <v>48880761</v>
      </c>
      <c r="M31" s="18" t="n">
        <v>0.758</v>
      </c>
      <c r="N31" s="18" t="n">
        <v>0.895</v>
      </c>
      <c r="O31" s="17" t="n">
        <v>52087157</v>
      </c>
      <c r="P31" s="17" t="n">
        <v>52087147</v>
      </c>
      <c r="Q31" s="17">
        <f>O31-P31</f>
        <v/>
      </c>
      <c r="R31" s="17" t="n">
        <v>12</v>
      </c>
    </row>
    <row r="32" ht="15" customHeight="1" s="12">
      <c r="A32" s="16" t="inlineStr">
        <is>
          <t>A_CU4</t>
        </is>
      </c>
      <c r="B32" s="16" t="inlineStr">
        <is>
          <t>This study (GSE348661)</t>
        </is>
      </c>
      <c r="C32" s="16" t="inlineStr">
        <is>
          <t>2026</t>
        </is>
      </c>
      <c r="D32" s="16" t="inlineStr">
        <is>
          <t>Cornea</t>
        </is>
      </c>
      <c r="E32" s="16" t="inlineStr">
        <is>
          <t>Adult (3–8 mo)</t>
        </is>
      </c>
      <c r="F32" s="16" t="inlineStr">
        <is>
          <t>Pax6Sey-Neu/+ transparent</t>
        </is>
      </c>
      <c r="G32" s="17" t="n">
        <v>51042012</v>
      </c>
      <c r="H32" s="18" t="n">
        <v>0.9837</v>
      </c>
      <c r="I32" s="16" t="inlineStr">
        <is>
          <t>none detected (TruSeq3-PE)</t>
        </is>
      </c>
      <c r="J32" s="18" t="n">
        <v>0.9752999999999999</v>
      </c>
      <c r="K32" s="18" t="n">
        <v>0.9244</v>
      </c>
      <c r="L32" s="17" t="n">
        <v>42022350</v>
      </c>
      <c r="M32" s="18" t="n">
        <v>0.784</v>
      </c>
      <c r="N32" s="18" t="n">
        <v>0.905</v>
      </c>
      <c r="O32" s="17" t="n">
        <v>45831047</v>
      </c>
      <c r="P32" s="17" t="n">
        <v>45831032</v>
      </c>
      <c r="Q32" s="17">
        <f>O32-P32</f>
        <v/>
      </c>
      <c r="R32" s="17" t="n">
        <v>4</v>
      </c>
    </row>
    <row r="33" ht="15" customHeight="1" s="12">
      <c r="A33" s="16" t="inlineStr">
        <is>
          <t>A_CU5</t>
        </is>
      </c>
      <c r="B33" s="16" t="inlineStr">
        <is>
          <t>This study (GSE348661)</t>
        </is>
      </c>
      <c r="C33" s="16" t="inlineStr">
        <is>
          <t>2026</t>
        </is>
      </c>
      <c r="D33" s="16" t="inlineStr">
        <is>
          <t>Cornea</t>
        </is>
      </c>
      <c r="E33" s="16" t="inlineStr">
        <is>
          <t>Adult (3–8 mo)</t>
        </is>
      </c>
      <c r="F33" s="16" t="inlineStr">
        <is>
          <t>Pax6Sey-Neu/+ transparent</t>
        </is>
      </c>
      <c r="G33" s="17" t="n">
        <v>63858338</v>
      </c>
      <c r="H33" s="18" t="n">
        <v>0.9818</v>
      </c>
      <c r="I33" s="16" t="inlineStr">
        <is>
          <t>none detected (TruSeq3-PE)</t>
        </is>
      </c>
      <c r="J33" s="18" t="n">
        <v>0.9594</v>
      </c>
      <c r="K33" s="18" t="n">
        <v>0.8655</v>
      </c>
      <c r="L33" s="17" t="n">
        <v>48335669</v>
      </c>
      <c r="M33" s="18" t="n">
        <v>0.705</v>
      </c>
      <c r="N33" s="18" t="n">
        <v>0.887</v>
      </c>
      <c r="O33" s="17" t="n">
        <v>51036996</v>
      </c>
      <c r="P33" s="17" t="n">
        <v>51037001</v>
      </c>
      <c r="Q33" s="17">
        <f>O33-P33</f>
        <v/>
      </c>
      <c r="R33" s="17" t="n">
        <v>2</v>
      </c>
    </row>
    <row r="34" ht="15" customHeight="1" s="12">
      <c r="A34" s="16" t="inlineStr">
        <is>
          <t>A_CO1</t>
        </is>
      </c>
      <c r="B34" s="16" t="inlineStr">
        <is>
          <t>This study (GSE348661)</t>
        </is>
      </c>
      <c r="C34" s="16" t="inlineStr">
        <is>
          <t>2025</t>
        </is>
      </c>
      <c r="D34" s="16" t="inlineStr">
        <is>
          <t>Cornea</t>
        </is>
      </c>
      <c r="E34" s="16" t="inlineStr">
        <is>
          <t>Adult (3–8 mo)</t>
        </is>
      </c>
      <c r="F34" s="16" t="inlineStr">
        <is>
          <t>Pax6Sey-Neu/+ opaque</t>
        </is>
      </c>
      <c r="G34" s="17" t="n">
        <v>60142903</v>
      </c>
      <c r="H34" s="18" t="n">
        <v>0.9721</v>
      </c>
      <c r="I34" s="16" t="inlineStr">
        <is>
          <t>none detected (TruSeq3-PE)</t>
        </is>
      </c>
      <c r="J34" s="18" t="n">
        <v>0.8808</v>
      </c>
      <c r="K34" s="18" t="n">
        <v>0.7332</v>
      </c>
      <c r="L34" s="17" t="n">
        <v>41368948</v>
      </c>
      <c r="M34" s="18" t="n">
        <v>0.658</v>
      </c>
      <c r="N34" s="18" t="n">
        <v>0.961</v>
      </c>
      <c r="O34" s="17" t="n">
        <v>44489277</v>
      </c>
      <c r="P34" s="17" t="n">
        <v>44489251</v>
      </c>
      <c r="Q34" s="17">
        <f>O34-P34</f>
        <v/>
      </c>
      <c r="R34" s="17" t="n">
        <v>21</v>
      </c>
    </row>
    <row r="35" ht="15" customHeight="1" s="12">
      <c r="A35" s="16" t="inlineStr">
        <is>
          <t>A_CO2</t>
        </is>
      </c>
      <c r="B35" s="16" t="inlineStr">
        <is>
          <t>This study (GSE348661)</t>
        </is>
      </c>
      <c r="C35" s="16" t="inlineStr">
        <is>
          <t>2025</t>
        </is>
      </c>
      <c r="D35" s="16" t="inlineStr">
        <is>
          <t>Cornea</t>
        </is>
      </c>
      <c r="E35" s="16" t="inlineStr">
        <is>
          <t>Adult (3–8 mo)</t>
        </is>
      </c>
      <c r="F35" s="16" t="inlineStr">
        <is>
          <t>Pax6Sey-Neu/+ opaque</t>
        </is>
      </c>
      <c r="G35" s="17" t="n">
        <v>51193244</v>
      </c>
      <c r="H35" s="18" t="n">
        <v>0.9703000000000001</v>
      </c>
      <c r="I35" s="16" t="inlineStr">
        <is>
          <t>none detected (TruSeq3-PE)</t>
        </is>
      </c>
      <c r="J35" s="18" t="n">
        <v>0.8881</v>
      </c>
      <c r="K35" s="18" t="n">
        <v>0.7484</v>
      </c>
      <c r="L35" s="17" t="n">
        <v>35299472</v>
      </c>
      <c r="M35" s="18" t="n">
        <v>0.658</v>
      </c>
      <c r="N35" s="18" t="n">
        <v>0.946</v>
      </c>
      <c r="O35" s="17" t="n">
        <v>38126409</v>
      </c>
      <c r="P35" s="17" t="n">
        <v>38126388</v>
      </c>
      <c r="Q35" s="17">
        <f>O35-P35</f>
        <v/>
      </c>
      <c r="R35" s="17" t="n">
        <v>12</v>
      </c>
    </row>
    <row r="36" ht="15" customHeight="1" s="12">
      <c r="A36" s="16" t="inlineStr">
        <is>
          <t>A_CO3</t>
        </is>
      </c>
      <c r="B36" s="16" t="inlineStr">
        <is>
          <t>This study (GSE348661)</t>
        </is>
      </c>
      <c r="C36" s="16" t="inlineStr">
        <is>
          <t>2026</t>
        </is>
      </c>
      <c r="D36" s="16" t="inlineStr">
        <is>
          <t>Cornea</t>
        </is>
      </c>
      <c r="E36" s="16" t="inlineStr">
        <is>
          <t>Adult (3–8 mo)</t>
        </is>
      </c>
      <c r="F36" s="16" t="inlineStr">
        <is>
          <t>Pax6Sey-Neu/+ opaque</t>
        </is>
      </c>
      <c r="G36" s="17" t="n">
        <v>53630366</v>
      </c>
      <c r="H36" s="18" t="n">
        <v>0.9836</v>
      </c>
      <c r="I36" s="16" t="inlineStr">
        <is>
          <t>none detected (TruSeq3-PE)</t>
        </is>
      </c>
      <c r="J36" s="18" t="n">
        <v>0.9712</v>
      </c>
      <c r="K36" s="18" t="n">
        <v>0.8954</v>
      </c>
      <c r="L36" s="17" t="n">
        <v>42645711</v>
      </c>
      <c r="M36" s="18" t="n">
        <v>0.746</v>
      </c>
      <c r="N36" s="18" t="n">
        <v>0.901</v>
      </c>
      <c r="O36" s="17" t="n">
        <v>45064069</v>
      </c>
      <c r="P36" s="17" t="n">
        <v>45064067</v>
      </c>
      <c r="Q36" s="17">
        <f>O36-P36</f>
        <v/>
      </c>
      <c r="R36" s="17" t="n">
        <v>1</v>
      </c>
    </row>
    <row r="37" ht="15" customHeight="1" s="12">
      <c r="A37" s="16" t="inlineStr">
        <is>
          <t>A_CO4</t>
        </is>
      </c>
      <c r="B37" s="16" t="inlineStr">
        <is>
          <t>This study (GSE348661)</t>
        </is>
      </c>
      <c r="C37" s="16" t="inlineStr">
        <is>
          <t>2026</t>
        </is>
      </c>
      <c r="D37" s="16" t="inlineStr">
        <is>
          <t>Cornea</t>
        </is>
      </c>
      <c r="E37" s="16" t="inlineStr">
        <is>
          <t>Adult (3–8 mo)</t>
        </is>
      </c>
      <c r="F37" s="16" t="inlineStr">
        <is>
          <t>Pax6Sey-Neu/+ opaque</t>
        </is>
      </c>
      <c r="G37" s="17" t="n">
        <v>55407206</v>
      </c>
      <c r="H37" s="18" t="n">
        <v>0.983</v>
      </c>
      <c r="I37" s="16" t="inlineStr">
        <is>
          <t>none detected (TruSeq3-PE)</t>
        </is>
      </c>
      <c r="J37" s="18" t="n">
        <v>0.9761</v>
      </c>
      <c r="K37" s="18" t="n">
        <v>0.9124</v>
      </c>
      <c r="L37" s="17" t="n">
        <v>44111471</v>
      </c>
      <c r="M37" s="18" t="n">
        <v>0.749</v>
      </c>
      <c r="N37" s="18" t="n">
        <v>0.887</v>
      </c>
      <c r="O37" s="17" t="n">
        <v>46781895</v>
      </c>
      <c r="P37" s="17" t="n">
        <v>46781896</v>
      </c>
      <c r="Q37" s="17">
        <f>O37-P37</f>
        <v/>
      </c>
      <c r="R37" s="17" t="n">
        <v>2</v>
      </c>
    </row>
    <row r="38" ht="15" customHeight="1" s="12">
      <c r="A38" s="16" t="inlineStr">
        <is>
          <t>A_CO5</t>
        </is>
      </c>
      <c r="B38" s="16" t="inlineStr">
        <is>
          <t>This study (GSE348661)</t>
        </is>
      </c>
      <c r="C38" s="16" t="inlineStr">
        <is>
          <t>2026</t>
        </is>
      </c>
      <c r="D38" s="16" t="inlineStr">
        <is>
          <t>Cornea</t>
        </is>
      </c>
      <c r="E38" s="16" t="inlineStr">
        <is>
          <t>Adult (3–8 mo)</t>
        </is>
      </c>
      <c r="F38" s="16" t="inlineStr">
        <is>
          <t>Pax6Sey-Neu/+ opaque</t>
        </is>
      </c>
      <c r="G38" s="17" t="n">
        <v>73171879</v>
      </c>
      <c r="H38" s="18" t="n">
        <v>0.9819</v>
      </c>
      <c r="I38" s="16" t="inlineStr">
        <is>
          <t>none detected (TruSeq3-PE)</t>
        </is>
      </c>
      <c r="J38" s="18" t="n">
        <v>0.9605</v>
      </c>
      <c r="K38" s="18" t="n">
        <v>0.8766</v>
      </c>
      <c r="L38" s="17" t="n">
        <v>55863089</v>
      </c>
      <c r="M38" s="18" t="n">
        <v>0.709</v>
      </c>
      <c r="N38" s="18" t="n">
        <v>0.885</v>
      </c>
      <c r="O38" s="17" t="n">
        <v>58650984</v>
      </c>
      <c r="P38" s="17" t="n">
        <v>58650987</v>
      </c>
      <c r="Q38" s="17">
        <f>O38-P38</f>
        <v/>
      </c>
      <c r="R38" s="17" t="n">
        <v>1</v>
      </c>
    </row>
    <row r="39" ht="15" customHeight="1" s="12">
      <c r="A39" s="16" t="inlineStr">
        <is>
          <t>B_TW1</t>
        </is>
      </c>
      <c r="B39" s="16" t="inlineStr">
        <is>
          <t>This study (GSE348661)</t>
        </is>
      </c>
      <c r="C39" s="16" t="inlineStr">
        <is>
          <t>2025</t>
        </is>
      </c>
      <c r="D39" s="16" t="inlineStr">
        <is>
          <t>Trigeminal ganglion</t>
        </is>
      </c>
      <c r="E39" s="16" t="inlineStr">
        <is>
          <t>P3/P4</t>
        </is>
      </c>
      <c r="F39" s="16" t="inlineStr">
        <is>
          <t>Pax6+/+</t>
        </is>
      </c>
      <c r="G39" s="17" t="n">
        <v>41002467</v>
      </c>
      <c r="H39" s="18" t="n">
        <v>0.9691</v>
      </c>
      <c r="I39" s="16" t="inlineStr">
        <is>
          <t>none detected (TruSeq3-PE)</t>
        </is>
      </c>
      <c r="J39" s="18" t="n">
        <v>0.8923</v>
      </c>
      <c r="K39" s="18" t="n">
        <v>0.7943</v>
      </c>
      <c r="L39" s="17" t="n">
        <v>30623300</v>
      </c>
      <c r="M39" s="18" t="n">
        <v>0.719</v>
      </c>
      <c r="N39" s="18" t="n">
        <v>0.968</v>
      </c>
      <c r="O39" s="17" t="n">
        <v>32675376</v>
      </c>
      <c r="P39" s="17" t="n">
        <v>32675371</v>
      </c>
      <c r="Q39" s="17">
        <f>O39-P39</f>
        <v/>
      </c>
      <c r="R39" s="17" t="n">
        <v>1</v>
      </c>
    </row>
    <row r="40" ht="15" customHeight="1" s="12">
      <c r="A40" s="16" t="inlineStr">
        <is>
          <t>B_TW2</t>
        </is>
      </c>
      <c r="B40" s="16" t="inlineStr">
        <is>
          <t>This study (GSE348661)</t>
        </is>
      </c>
      <c r="C40" s="16" t="inlineStr">
        <is>
          <t>2025</t>
        </is>
      </c>
      <c r="D40" s="16" t="inlineStr">
        <is>
          <t>Trigeminal ganglion</t>
        </is>
      </c>
      <c r="E40" s="16" t="inlineStr">
        <is>
          <t>P3/P4</t>
        </is>
      </c>
      <c r="F40" s="16" t="inlineStr">
        <is>
          <t>Pax6+/+</t>
        </is>
      </c>
      <c r="G40" s="17" t="n">
        <v>55623364</v>
      </c>
      <c r="H40" s="18" t="n">
        <v>0.9702</v>
      </c>
      <c r="I40" s="16" t="inlineStr">
        <is>
          <t>none detected (TruSeq3-PE)</t>
        </is>
      </c>
      <c r="J40" s="18" t="n">
        <v>0.886</v>
      </c>
      <c r="K40" s="18" t="n">
        <v>0.7432</v>
      </c>
      <c r="L40" s="17" t="n">
        <v>38870261</v>
      </c>
      <c r="M40" s="18" t="n">
        <v>0.668</v>
      </c>
      <c r="N40" s="18" t="n">
        <v>0.966</v>
      </c>
      <c r="O40" s="17" t="n">
        <v>41652479</v>
      </c>
      <c r="P40" s="17" t="n">
        <v>41652496</v>
      </c>
      <c r="Q40" s="17">
        <f>O40-P40</f>
        <v/>
      </c>
      <c r="R40" s="17" t="n">
        <v>23</v>
      </c>
    </row>
    <row r="41" ht="15" customHeight="1" s="12">
      <c r="A41" s="16" t="inlineStr">
        <is>
          <t>B_TU1</t>
        </is>
      </c>
      <c r="B41" s="16" t="inlineStr">
        <is>
          <t>This study (GSE348661)</t>
        </is>
      </c>
      <c r="C41" s="16" t="inlineStr">
        <is>
          <t>2025</t>
        </is>
      </c>
      <c r="D41" s="16" t="inlineStr">
        <is>
          <t>Trigeminal ganglion</t>
        </is>
      </c>
      <c r="E41" s="16" t="inlineStr">
        <is>
          <t>P3/P4</t>
        </is>
      </c>
      <c r="F41" s="16" t="inlineStr">
        <is>
          <t>Pax6Sey-Neu/+ transparent</t>
        </is>
      </c>
      <c r="G41" s="17" t="n">
        <v>50378122</v>
      </c>
      <c r="H41" s="18" t="n">
        <v>0.9673</v>
      </c>
      <c r="I41" s="16" t="inlineStr">
        <is>
          <t>none detected (TruSeq3-PE)</t>
        </is>
      </c>
      <c r="J41" s="18" t="n">
        <v>0.8934</v>
      </c>
      <c r="K41" s="18" t="n">
        <v>0.7566000000000001</v>
      </c>
      <c r="L41" s="17" t="n">
        <v>35824587</v>
      </c>
      <c r="M41" s="18" t="n">
        <v>0.6830000000000001</v>
      </c>
      <c r="N41" s="18" t="n">
        <v>0.969</v>
      </c>
      <c r="O41" s="17" t="n">
        <v>38375619</v>
      </c>
      <c r="P41" s="17" t="n">
        <v>38375615</v>
      </c>
      <c r="Q41" s="17">
        <f>O41-P41</f>
        <v/>
      </c>
      <c r="R41" s="17" t="n">
        <v>1</v>
      </c>
    </row>
    <row r="42" ht="15" customHeight="1" s="12">
      <c r="A42" s="16" t="inlineStr">
        <is>
          <t>B_TU2</t>
        </is>
      </c>
      <c r="B42" s="16" t="inlineStr">
        <is>
          <t>This study (GSE348661)</t>
        </is>
      </c>
      <c r="C42" s="16" t="inlineStr">
        <is>
          <t>2025</t>
        </is>
      </c>
      <c r="D42" s="16" t="inlineStr">
        <is>
          <t>Trigeminal ganglion</t>
        </is>
      </c>
      <c r="E42" s="16" t="inlineStr">
        <is>
          <t>P3/P4</t>
        </is>
      </c>
      <c r="F42" s="16" t="inlineStr">
        <is>
          <t>Pax6Sey-Neu/+ transparent</t>
        </is>
      </c>
      <c r="G42" s="17" t="n">
        <v>39231992</v>
      </c>
      <c r="H42" s="18" t="n">
        <v>0.9705</v>
      </c>
      <c r="I42" s="16" t="inlineStr">
        <is>
          <t>none detected (TruSeq3-PE)</t>
        </is>
      </c>
      <c r="J42" s="18" t="n">
        <v>0.9105</v>
      </c>
      <c r="K42" s="18" t="n">
        <v>0.7716</v>
      </c>
      <c r="L42" s="17" t="n">
        <v>28484414</v>
      </c>
      <c r="M42" s="18" t="n">
        <v>0.6929999999999999</v>
      </c>
      <c r="N42" s="18" t="n">
        <v>0.966</v>
      </c>
      <c r="O42" s="17" t="n">
        <v>30532134</v>
      </c>
      <c r="P42" s="17" t="n">
        <v>30532135</v>
      </c>
      <c r="Q42" s="17">
        <f>O42-P42</f>
        <v/>
      </c>
      <c r="R42" s="17" t="n">
        <v>2</v>
      </c>
    </row>
    <row r="43" ht="15" customHeight="1" s="12">
      <c r="A43" s="16" t="inlineStr">
        <is>
          <t>K_TW1</t>
        </is>
      </c>
      <c r="B43" s="16" t="inlineStr">
        <is>
          <t>This study (GSE348661)</t>
        </is>
      </c>
      <c r="C43" s="16" t="inlineStr">
        <is>
          <t>2025</t>
        </is>
      </c>
      <c r="D43" s="16" t="inlineStr">
        <is>
          <t>Trigeminal ganglion</t>
        </is>
      </c>
      <c r="E43" s="16" t="inlineStr">
        <is>
          <t>P15</t>
        </is>
      </c>
      <c r="F43" s="16" t="inlineStr">
        <is>
          <t>Pax6+/+</t>
        </is>
      </c>
      <c r="G43" s="17" t="n">
        <v>39520616</v>
      </c>
      <c r="H43" s="18" t="n">
        <v>0.9677</v>
      </c>
      <c r="I43" s="16" t="inlineStr">
        <is>
          <t>none detected (TruSeq3-PE)</t>
        </is>
      </c>
      <c r="J43" s="18" t="n">
        <v>0.8861</v>
      </c>
      <c r="K43" s="18" t="n">
        <v>0.7385</v>
      </c>
      <c r="L43" s="17" t="n">
        <v>27460311</v>
      </c>
      <c r="M43" s="18" t="n">
        <v>0.668</v>
      </c>
      <c r="N43" s="18" t="n">
        <v>0.969</v>
      </c>
      <c r="O43" s="17" t="n">
        <v>29291021</v>
      </c>
      <c r="P43" s="17" t="n">
        <v>29291025</v>
      </c>
      <c r="Q43" s="17">
        <f>O43-P43</f>
        <v/>
      </c>
      <c r="R43" s="17" t="n">
        <v>4</v>
      </c>
    </row>
    <row r="44" ht="15" customHeight="1" s="12">
      <c r="A44" s="16" t="inlineStr">
        <is>
          <t>K_TW2</t>
        </is>
      </c>
      <c r="B44" s="16" t="inlineStr">
        <is>
          <t>This study (GSE348661)</t>
        </is>
      </c>
      <c r="C44" s="16" t="inlineStr">
        <is>
          <t>2025</t>
        </is>
      </c>
      <c r="D44" s="16" t="inlineStr">
        <is>
          <t>Trigeminal ganglion</t>
        </is>
      </c>
      <c r="E44" s="16" t="inlineStr">
        <is>
          <t>P15</t>
        </is>
      </c>
      <c r="F44" s="16" t="inlineStr">
        <is>
          <t>Pax6+/+</t>
        </is>
      </c>
      <c r="G44" s="17" t="n">
        <v>46401309</v>
      </c>
      <c r="H44" s="18" t="n">
        <v>0.9687</v>
      </c>
      <c r="I44" s="16" t="inlineStr">
        <is>
          <t>none detected (TruSeq3-PE)</t>
        </is>
      </c>
      <c r="J44" s="18" t="n">
        <v>0.8975</v>
      </c>
      <c r="K44" s="18" t="n">
        <v>0.7608</v>
      </c>
      <c r="L44" s="17" t="n">
        <v>33165458</v>
      </c>
      <c r="M44" s="18" t="n">
        <v>0.6879999999999999</v>
      </c>
      <c r="N44" s="18" t="n">
        <v>0.967</v>
      </c>
      <c r="O44" s="17" t="n">
        <v>35332934</v>
      </c>
      <c r="P44" s="17" t="n">
        <v>35332920</v>
      </c>
      <c r="Q44" s="17">
        <f>O44-P44</f>
        <v/>
      </c>
      <c r="R44" s="17" t="n">
        <v>5</v>
      </c>
    </row>
    <row r="45" ht="15" customHeight="1" s="12">
      <c r="A45" s="16" t="inlineStr">
        <is>
          <t>K_TU1</t>
        </is>
      </c>
      <c r="B45" s="16" t="inlineStr">
        <is>
          <t>This study (GSE348661)</t>
        </is>
      </c>
      <c r="C45" s="16" t="inlineStr">
        <is>
          <t>2025</t>
        </is>
      </c>
      <c r="D45" s="16" t="inlineStr">
        <is>
          <t>Trigeminal ganglion</t>
        </is>
      </c>
      <c r="E45" s="16" t="inlineStr">
        <is>
          <t>P15</t>
        </is>
      </c>
      <c r="F45" s="16" t="inlineStr">
        <is>
          <t>Pax6Sey-Neu/+ transparent</t>
        </is>
      </c>
      <c r="G45" s="17" t="n">
        <v>54695556</v>
      </c>
      <c r="H45" s="18" t="n">
        <v>0.9723000000000001</v>
      </c>
      <c r="I45" s="16" t="inlineStr">
        <is>
          <t>none detected (TruSeq3-PE)</t>
        </is>
      </c>
      <c r="J45" s="18" t="n">
        <v>0.8855</v>
      </c>
      <c r="K45" s="18" t="n">
        <v>0.7403</v>
      </c>
      <c r="L45" s="17" t="n">
        <v>38249469</v>
      </c>
      <c r="M45" s="18" t="n">
        <v>0.67</v>
      </c>
      <c r="N45" s="18" t="n">
        <v>0.968</v>
      </c>
      <c r="O45" s="17" t="n">
        <v>40833495</v>
      </c>
      <c r="P45" s="17" t="n">
        <v>40833486</v>
      </c>
      <c r="Q45" s="17">
        <f>O45-P45</f>
        <v/>
      </c>
      <c r="R45" s="17" t="n">
        <v>2</v>
      </c>
    </row>
    <row r="46" ht="15" customHeight="1" s="12">
      <c r="A46" s="16" t="inlineStr">
        <is>
          <t>K_TU2</t>
        </is>
      </c>
      <c r="B46" s="16" t="inlineStr">
        <is>
          <t>This study (GSE348661)</t>
        </is>
      </c>
      <c r="C46" s="16" t="inlineStr">
        <is>
          <t>2025</t>
        </is>
      </c>
      <c r="D46" s="16" t="inlineStr">
        <is>
          <t>Trigeminal ganglion</t>
        </is>
      </c>
      <c r="E46" s="16" t="inlineStr">
        <is>
          <t>P15</t>
        </is>
      </c>
      <c r="F46" s="16" t="inlineStr">
        <is>
          <t>Pax6Sey-Neu/+ transparent</t>
        </is>
      </c>
      <c r="G46" s="17" t="n">
        <v>49443154</v>
      </c>
      <c r="H46" s="18" t="n">
        <v>0.9686</v>
      </c>
      <c r="I46" s="16" t="inlineStr">
        <is>
          <t>none detected (TruSeq3-PE)</t>
        </is>
      </c>
      <c r="J46" s="18" t="n">
        <v>0.8919</v>
      </c>
      <c r="K46" s="18" t="n">
        <v>0.7635</v>
      </c>
      <c r="L46" s="17" t="n">
        <v>35489205</v>
      </c>
      <c r="M46" s="18" t="n">
        <v>0.6909999999999999</v>
      </c>
      <c r="N46" s="18" t="n">
        <v>0.967</v>
      </c>
      <c r="O46" s="17" t="n">
        <v>37812702</v>
      </c>
      <c r="P46" s="17" t="n">
        <v>37812717</v>
      </c>
      <c r="Q46" s="17">
        <f>O46-P46</f>
        <v/>
      </c>
      <c r="R46" s="17" t="n">
        <v>20</v>
      </c>
    </row>
    <row r="47" ht="15" customHeight="1" s="12">
      <c r="A47" s="16" t="inlineStr">
        <is>
          <t>A_TW1</t>
        </is>
      </c>
      <c r="B47" s="16" t="inlineStr">
        <is>
          <t>This study (GSE348661)</t>
        </is>
      </c>
      <c r="C47" s="16" t="inlineStr">
        <is>
          <t>2025</t>
        </is>
      </c>
      <c r="D47" s="16" t="inlineStr">
        <is>
          <t>Trigeminal ganglion</t>
        </is>
      </c>
      <c r="E47" s="16" t="inlineStr">
        <is>
          <t>Adult (3–8 mo)</t>
        </is>
      </c>
      <c r="F47" s="16" t="inlineStr">
        <is>
          <t>Pax6+/+</t>
        </is>
      </c>
      <c r="G47" s="17" t="n">
        <v>48302373</v>
      </c>
      <c r="H47" s="18" t="n">
        <v>0.9694</v>
      </c>
      <c r="I47" s="16" t="inlineStr">
        <is>
          <t>none detected (TruSeq3-PE)</t>
        </is>
      </c>
      <c r="J47" s="18" t="n">
        <v>0.8946</v>
      </c>
      <c r="K47" s="18" t="n">
        <v>0.7703</v>
      </c>
      <c r="L47" s="17" t="n">
        <v>35028833</v>
      </c>
      <c r="M47" s="18" t="n">
        <v>0.695</v>
      </c>
      <c r="N47" s="18" t="n">
        <v>0.968</v>
      </c>
      <c r="O47" s="17" t="n">
        <v>37374557</v>
      </c>
      <c r="P47" s="17" t="n">
        <v>37374560</v>
      </c>
      <c r="Q47" s="17">
        <f>O47-P47</f>
        <v/>
      </c>
      <c r="R47" s="17" t="n">
        <v>5</v>
      </c>
    </row>
    <row r="48" ht="15" customHeight="1" s="12">
      <c r="A48" s="16" t="inlineStr">
        <is>
          <t>A_TW2</t>
        </is>
      </c>
      <c r="B48" s="16" t="inlineStr">
        <is>
          <t>This study (GSE348661)</t>
        </is>
      </c>
      <c r="C48" s="16" t="inlineStr">
        <is>
          <t>2025</t>
        </is>
      </c>
      <c r="D48" s="16" t="inlineStr">
        <is>
          <t>Trigeminal ganglion</t>
        </is>
      </c>
      <c r="E48" s="16" t="inlineStr">
        <is>
          <t>Adult (3–8 mo)</t>
        </is>
      </c>
      <c r="F48" s="16" t="inlineStr">
        <is>
          <t>Pax6+/+</t>
        </is>
      </c>
      <c r="G48" s="17" t="n">
        <v>58225597</v>
      </c>
      <c r="H48" s="18" t="n">
        <v>0.9715</v>
      </c>
      <c r="I48" s="16" t="inlineStr">
        <is>
          <t>none detected (TruSeq3-PE)</t>
        </is>
      </c>
      <c r="J48" s="18" t="n">
        <v>0.8668</v>
      </c>
      <c r="K48" s="18" t="n">
        <v>0.7382</v>
      </c>
      <c r="L48" s="17" t="n">
        <v>40424586</v>
      </c>
      <c r="M48" s="18" t="n">
        <v>0.664</v>
      </c>
      <c r="N48" s="18" t="n">
        <v>0.965</v>
      </c>
      <c r="O48" s="17" t="n">
        <v>43100552</v>
      </c>
      <c r="P48" s="17" t="n">
        <v>43100558</v>
      </c>
      <c r="Q48" s="17">
        <f>O48-P48</f>
        <v/>
      </c>
      <c r="R48" s="17" t="n">
        <v>2</v>
      </c>
    </row>
    <row r="49" ht="15" customHeight="1" s="12">
      <c r="A49" s="16" t="inlineStr">
        <is>
          <t>A_TU1</t>
        </is>
      </c>
      <c r="B49" s="16" t="inlineStr">
        <is>
          <t>This study (GSE348661)</t>
        </is>
      </c>
      <c r="C49" s="16" t="inlineStr">
        <is>
          <t>2025</t>
        </is>
      </c>
      <c r="D49" s="16" t="inlineStr">
        <is>
          <t>Trigeminal ganglion</t>
        </is>
      </c>
      <c r="E49" s="16" t="inlineStr">
        <is>
          <t>Adult (3–8 mo)</t>
        </is>
      </c>
      <c r="F49" s="16" t="inlineStr">
        <is>
          <t>Pax6Sey-Neu/+ transparent</t>
        </is>
      </c>
      <c r="G49" s="17" t="n">
        <v>63467969</v>
      </c>
      <c r="H49" s="18" t="n">
        <v>0.9733000000000001</v>
      </c>
      <c r="I49" s="16" t="inlineStr">
        <is>
          <t>none detected (TruSeq3-PE)</t>
        </is>
      </c>
      <c r="J49" s="18" t="n">
        <v>0.8963</v>
      </c>
      <c r="K49" s="18" t="n">
        <v>0.7645999999999999</v>
      </c>
      <c r="L49" s="17" t="n">
        <v>45805836</v>
      </c>
      <c r="M49" s="18" t="n">
        <v>0.6889999999999999</v>
      </c>
      <c r="N49" s="18" t="n">
        <v>0.967</v>
      </c>
      <c r="O49" s="17" t="n">
        <v>48833908</v>
      </c>
      <c r="P49" s="17" t="n">
        <v>48833904</v>
      </c>
      <c r="Q49" s="17">
        <f>O49-P49</f>
        <v/>
      </c>
      <c r="R49" s="17" t="n">
        <v>2</v>
      </c>
    </row>
    <row r="50" ht="15" customHeight="1" s="12">
      <c r="A50" s="16" t="inlineStr">
        <is>
          <t>A_TU2</t>
        </is>
      </c>
      <c r="B50" s="16" t="inlineStr">
        <is>
          <t>This study (GSE348661)</t>
        </is>
      </c>
      <c r="C50" s="16" t="inlineStr">
        <is>
          <t>2025</t>
        </is>
      </c>
      <c r="D50" s="16" t="inlineStr">
        <is>
          <t>Trigeminal ganglion</t>
        </is>
      </c>
      <c r="E50" s="16" t="inlineStr">
        <is>
          <t>Adult (3–8 mo)</t>
        </is>
      </c>
      <c r="F50" s="16" t="inlineStr">
        <is>
          <t>Pax6Sey-Neu/+ transparent</t>
        </is>
      </c>
      <c r="G50" s="17" t="n">
        <v>46810611</v>
      </c>
      <c r="H50" s="18" t="n">
        <v>0.9707</v>
      </c>
      <c r="I50" s="16" t="inlineStr">
        <is>
          <t>none detected (TruSeq3-PE)</t>
        </is>
      </c>
      <c r="J50" s="18" t="n">
        <v>0.8883</v>
      </c>
      <c r="K50" s="18" t="n">
        <v>0.7766999999999999</v>
      </c>
      <c r="L50" s="17" t="n">
        <v>34125747</v>
      </c>
      <c r="M50" s="18" t="n">
        <v>0.698</v>
      </c>
      <c r="N50" s="18" t="n">
        <v>0.964</v>
      </c>
      <c r="O50" s="17" t="n">
        <v>36324035</v>
      </c>
      <c r="P50" s="17" t="n">
        <v>36324037</v>
      </c>
      <c r="Q50" s="17">
        <f>O50-P50</f>
        <v/>
      </c>
      <c r="R50" s="17" t="n">
        <v>2</v>
      </c>
    </row>
    <row r="51" ht="15" customHeight="1" s="12">
      <c r="A51" s="16" t="inlineStr">
        <is>
          <t>A_TO1</t>
        </is>
      </c>
      <c r="B51" s="16" t="inlineStr">
        <is>
          <t>This study (GSE348661)</t>
        </is>
      </c>
      <c r="C51" s="16" t="inlineStr">
        <is>
          <t>2025</t>
        </is>
      </c>
      <c r="D51" s="16" t="inlineStr">
        <is>
          <t>Trigeminal ganglion</t>
        </is>
      </c>
      <c r="E51" s="16" t="inlineStr">
        <is>
          <t>Adult (3–8 mo)</t>
        </is>
      </c>
      <c r="F51" s="16" t="inlineStr">
        <is>
          <t>Pax6Sey-Neu/+ opaque</t>
        </is>
      </c>
      <c r="G51" s="17" t="n">
        <v>49142208</v>
      </c>
      <c r="H51" s="18" t="n">
        <v>0.9694</v>
      </c>
      <c r="I51" s="16" t="inlineStr">
        <is>
          <t>none detected (TruSeq3-PE)</t>
        </is>
      </c>
      <c r="J51" s="18" t="n">
        <v>0.9011</v>
      </c>
      <c r="K51" s="18" t="n">
        <v>0.7737000000000001</v>
      </c>
      <c r="L51" s="17" t="n">
        <v>35606086</v>
      </c>
      <c r="M51" s="18" t="n">
        <v>0.6929999999999999</v>
      </c>
      <c r="N51" s="18" t="n">
        <v>0.963</v>
      </c>
      <c r="O51" s="17" t="n">
        <v>37940009</v>
      </c>
      <c r="P51" s="17" t="n">
        <v>37940012</v>
      </c>
      <c r="Q51" s="17">
        <f>O51-P51</f>
        <v/>
      </c>
      <c r="R51" s="17" t="n">
        <v>5</v>
      </c>
    </row>
    <row r="52" ht="15" customHeight="1" s="12">
      <c r="A52" s="16" t="inlineStr">
        <is>
          <t>A_TO2</t>
        </is>
      </c>
      <c r="B52" s="16" t="inlineStr">
        <is>
          <t>This study (GSE348661)</t>
        </is>
      </c>
      <c r="C52" s="16" t="inlineStr">
        <is>
          <t>2025</t>
        </is>
      </c>
      <c r="D52" s="16" t="inlineStr">
        <is>
          <t>Trigeminal ganglion</t>
        </is>
      </c>
      <c r="E52" s="16" t="inlineStr">
        <is>
          <t>Adult (3–8 mo)</t>
        </is>
      </c>
      <c r="F52" s="16" t="inlineStr">
        <is>
          <t>Pax6Sey-Neu/+ opaque</t>
        </is>
      </c>
      <c r="G52" s="17" t="n">
        <v>61675703</v>
      </c>
      <c r="H52" s="18" t="n">
        <v>0.9724</v>
      </c>
      <c r="I52" s="16" t="inlineStr">
        <is>
          <t>none detected (TruSeq3-PE)</t>
        </is>
      </c>
      <c r="J52" s="18" t="n">
        <v>0.8958</v>
      </c>
      <c r="K52" s="18" t="n">
        <v>0.7747000000000001</v>
      </c>
      <c r="L52" s="17" t="n">
        <v>44943731</v>
      </c>
      <c r="M52" s="18" t="n">
        <v>0.695</v>
      </c>
      <c r="N52" s="18" t="n">
        <v>0.965</v>
      </c>
      <c r="O52" s="17" t="n">
        <v>47855713</v>
      </c>
      <c r="P52" s="17" t="n">
        <v>47855710</v>
      </c>
      <c r="Q52" s="17">
        <f>O52-P52</f>
        <v/>
      </c>
      <c r="R52" s="17" t="n">
        <v>2</v>
      </c>
    </row>
    <row r="53" ht="15" customHeight="1" s="12">
      <c r="A53" s="16" t="inlineStr">
        <is>
          <t>SRR15826452</t>
        </is>
      </c>
      <c r="B53" s="16" t="inlineStr">
        <is>
          <t>GSE183742 (Duncan laboratory)</t>
        </is>
      </c>
      <c r="C53" s="16" t="inlineStr">
        <is>
          <t>GSE183742</t>
        </is>
      </c>
      <c r="D53" s="16" t="inlineStr">
        <is>
          <t>Cornea</t>
        </is>
      </c>
      <c r="E53" s="16" t="inlineStr">
        <is>
          <t>Adult</t>
        </is>
      </c>
      <c r="F53" s="16" t="inlineStr">
        <is>
          <t>Pax6+/+</t>
        </is>
      </c>
      <c r="G53" s="17" t="n">
        <v>27283677</v>
      </c>
      <c r="H53" s="18" t="n">
        <v>0.9588</v>
      </c>
      <c r="I53" s="16" t="inlineStr">
        <is>
          <t>none detected (TruSeq3-PE)</t>
        </is>
      </c>
      <c r="J53" s="18" t="n">
        <v>0.5395</v>
      </c>
      <c r="K53" s="18" t="n">
        <v>0.4943</v>
      </c>
      <c r="L53" s="17" t="n">
        <v>9841692</v>
      </c>
      <c r="M53" s="18" t="n">
        <v>0.354</v>
      </c>
      <c r="N53" s="18" t="n">
        <v>0.759</v>
      </c>
      <c r="O53" s="17" t="n">
        <v>9968125</v>
      </c>
      <c r="P53" s="17" t="n">
        <v>9968125</v>
      </c>
      <c r="Q53" s="17">
        <f>O53-P53</f>
        <v/>
      </c>
      <c r="R53" s="17" t="n">
        <v>0</v>
      </c>
    </row>
    <row r="54" ht="15" customHeight="1" s="12">
      <c r="A54" s="16" t="inlineStr">
        <is>
          <t>SRR15826453</t>
        </is>
      </c>
      <c r="B54" s="16" t="inlineStr">
        <is>
          <t>GSE183742 (Duncan laboratory)</t>
        </is>
      </c>
      <c r="C54" s="16" t="inlineStr">
        <is>
          <t>GSE183742</t>
        </is>
      </c>
      <c r="D54" s="16" t="inlineStr">
        <is>
          <t>Cornea</t>
        </is>
      </c>
      <c r="E54" s="16" t="inlineStr">
        <is>
          <t>Adult</t>
        </is>
      </c>
      <c r="F54" s="16" t="inlineStr">
        <is>
          <t>Pax6+/+</t>
        </is>
      </c>
      <c r="G54" s="17" t="n">
        <v>25471491</v>
      </c>
      <c r="H54" s="18" t="n">
        <v>0.9598</v>
      </c>
      <c r="I54" s="16" t="inlineStr">
        <is>
          <t>none detected (TruSeq3-PE)</t>
        </is>
      </c>
      <c r="J54" s="18" t="n">
        <v>0.5097</v>
      </c>
      <c r="K54" s="18" t="n">
        <v>0.456</v>
      </c>
      <c r="L54" s="17" t="n">
        <v>8950392</v>
      </c>
      <c r="M54" s="18" t="n">
        <v>0.341</v>
      </c>
      <c r="N54" s="18" t="n">
        <v>0.801</v>
      </c>
      <c r="O54" s="17" t="n">
        <v>9127220</v>
      </c>
      <c r="P54" s="17" t="n">
        <v>9127220</v>
      </c>
      <c r="Q54" s="17">
        <f>O54-P54</f>
        <v/>
      </c>
      <c r="R54" s="17" t="n">
        <v>0</v>
      </c>
    </row>
    <row r="55" ht="15" customHeight="1" s="12">
      <c r="A55" s="16" t="inlineStr">
        <is>
          <t>SRR15826454</t>
        </is>
      </c>
      <c r="B55" s="16" t="inlineStr">
        <is>
          <t>GSE183742 (Duncan laboratory)</t>
        </is>
      </c>
      <c r="C55" s="16" t="inlineStr">
        <is>
          <t>GSE183742</t>
        </is>
      </c>
      <c r="D55" s="16" t="inlineStr">
        <is>
          <t>Cornea</t>
        </is>
      </c>
      <c r="E55" s="16" t="inlineStr">
        <is>
          <t>Adult</t>
        </is>
      </c>
      <c r="F55" s="16" t="inlineStr">
        <is>
          <t>Pax6+/+</t>
        </is>
      </c>
      <c r="G55" s="17" t="n">
        <v>28861048</v>
      </c>
      <c r="H55" s="18" t="n">
        <v>0.956</v>
      </c>
      <c r="I55" s="16" t="inlineStr">
        <is>
          <t>none detected (TruSeq3-PE)</t>
        </is>
      </c>
      <c r="J55" s="18" t="n">
        <v>0.5141</v>
      </c>
      <c r="K55" s="18" t="n">
        <v>0.4626</v>
      </c>
      <c r="L55" s="17" t="n">
        <v>9574584</v>
      </c>
      <c r="M55" s="18" t="n">
        <v>0.323</v>
      </c>
      <c r="N55" s="18" t="n">
        <v>0.748</v>
      </c>
      <c r="O55" s="17" t="n">
        <v>9732865</v>
      </c>
      <c r="P55" s="17" t="n">
        <v>9732865</v>
      </c>
      <c r="Q55" s="17">
        <f>O55-P55</f>
        <v/>
      </c>
      <c r="R55" s="17" t="n">
        <v>0</v>
      </c>
    </row>
    <row r="56" ht="15" customHeight="1" s="12">
      <c r="A56" s="16" t="inlineStr">
        <is>
          <t>SRR15826449</t>
        </is>
      </c>
      <c r="B56" s="16" t="inlineStr">
        <is>
          <t>GSE183742 (Duncan laboratory)</t>
        </is>
      </c>
      <c r="C56" s="16" t="inlineStr">
        <is>
          <t>GSE183742</t>
        </is>
      </c>
      <c r="D56" s="16" t="inlineStr">
        <is>
          <t>Cornea</t>
        </is>
      </c>
      <c r="E56" s="16" t="inlineStr">
        <is>
          <t>Adult</t>
        </is>
      </c>
      <c r="F56" s="16" t="inlineStr">
        <is>
          <t>Pax6tm1Pgr/+ (transparency not reported)</t>
        </is>
      </c>
      <c r="G56" s="17" t="n">
        <v>25895509</v>
      </c>
      <c r="H56" s="18" t="n">
        <v>0.9575</v>
      </c>
      <c r="I56" s="16" t="inlineStr">
        <is>
          <t>none detected (TruSeq3-PE)</t>
        </is>
      </c>
      <c r="J56" s="18" t="n">
        <v>0.522</v>
      </c>
      <c r="K56" s="18" t="n">
        <v>0.4755</v>
      </c>
      <c r="L56" s="17" t="n">
        <v>8642600</v>
      </c>
      <c r="M56" s="18" t="n">
        <v>0.327</v>
      </c>
      <c r="N56" s="18" t="n">
        <v>0.731</v>
      </c>
      <c r="O56" s="17" t="n">
        <v>8764278</v>
      </c>
      <c r="P56" s="17" t="n">
        <v>8764278</v>
      </c>
      <c r="Q56" s="17">
        <f>O56-P56</f>
        <v/>
      </c>
      <c r="R56" s="17" t="n">
        <v>0</v>
      </c>
    </row>
    <row r="57" ht="15" customHeight="1" s="12">
      <c r="A57" s="16" t="inlineStr">
        <is>
          <t>SRR15826450</t>
        </is>
      </c>
      <c r="B57" s="16" t="inlineStr">
        <is>
          <t>GSE183742 (Duncan laboratory)</t>
        </is>
      </c>
      <c r="C57" s="16" t="inlineStr">
        <is>
          <t>GSE183742</t>
        </is>
      </c>
      <c r="D57" s="16" t="inlineStr">
        <is>
          <t>Cornea</t>
        </is>
      </c>
      <c r="E57" s="16" t="inlineStr">
        <is>
          <t>Adult</t>
        </is>
      </c>
      <c r="F57" s="16" t="inlineStr">
        <is>
          <t>Pax6tm1Pgr/+ (transparency not reported)</t>
        </is>
      </c>
      <c r="G57" s="17" t="n">
        <v>26715267</v>
      </c>
      <c r="H57" s="18" t="n">
        <v>0.9588</v>
      </c>
      <c r="I57" s="16" t="inlineStr">
        <is>
          <t>none detected (TruSeq3-PE)</t>
        </is>
      </c>
      <c r="J57" s="18" t="n">
        <v>0.5316</v>
      </c>
      <c r="K57" s="18" t="n">
        <v>0.4848</v>
      </c>
      <c r="L57" s="17" t="n">
        <v>9179858</v>
      </c>
      <c r="M57" s="18" t="n">
        <v>0.336</v>
      </c>
      <c r="N57" s="18" t="n">
        <v>0.737</v>
      </c>
      <c r="O57" s="17" t="n">
        <v>9313738</v>
      </c>
      <c r="P57" s="17" t="n">
        <v>9313738</v>
      </c>
      <c r="Q57" s="17">
        <f>O57-P57</f>
        <v/>
      </c>
      <c r="R57" s="17" t="n">
        <v>0</v>
      </c>
    </row>
    <row r="58" ht="15" customHeight="1" s="12">
      <c r="A58" s="16" t="inlineStr">
        <is>
          <t>SRR15826451</t>
        </is>
      </c>
      <c r="B58" s="16" t="inlineStr">
        <is>
          <t>GSE183742 (Duncan laboratory)</t>
        </is>
      </c>
      <c r="C58" s="16" t="inlineStr">
        <is>
          <t>GSE183742</t>
        </is>
      </c>
      <c r="D58" s="16" t="inlineStr">
        <is>
          <t>Cornea</t>
        </is>
      </c>
      <c r="E58" s="16" t="inlineStr">
        <is>
          <t>Adult</t>
        </is>
      </c>
      <c r="F58" s="16" t="inlineStr">
        <is>
          <t>Pax6tm1Pgr/+ (transparency not reported)</t>
        </is>
      </c>
      <c r="G58" s="17" t="n">
        <v>29940172</v>
      </c>
      <c r="H58" s="18" t="n">
        <v>0.9617</v>
      </c>
      <c r="I58" s="16" t="inlineStr">
        <is>
          <t>none detected (TruSeq3-PE)</t>
        </is>
      </c>
      <c r="J58" s="18" t="n">
        <v>0.5499000000000001</v>
      </c>
      <c r="K58" s="18" t="n">
        <v>0.4998</v>
      </c>
      <c r="L58" s="17" t="n">
        <v>11179023</v>
      </c>
      <c r="M58" s="18" t="n">
        <v>0.363</v>
      </c>
      <c r="N58" s="18" t="n">
        <v>0.775</v>
      </c>
      <c r="O58" s="17" t="n">
        <v>11350783</v>
      </c>
      <c r="P58" s="17" t="n">
        <v>11350783</v>
      </c>
      <c r="Q58" s="17">
        <f>O58-P58</f>
        <v/>
      </c>
      <c r="R58" s="17" t="n">
        <v>0</v>
      </c>
    </row>
    <row r="59"/>
    <row r="60" ht="15" customHeight="1" s="12">
      <c r="A60" s="19" t="inlineStr">
        <is>
          <t>Footnotes</t>
        </is>
      </c>
    </row>
    <row r="61" ht="27.75" customHeight="1" s="12">
      <c r="A61" s="20" t="inlineStr">
        <is>
          <t>Genotype groups: Pax6+/+ wild type; Pax6Sey-Neu/+ transparent or opaque, assigned at dissection (Methods). Library codes: first letter age (B, P3/P4; K, P15; A, adult), second letter tissue (C, cornea; T, trigeminal ganglion), third letter group (W, U, O), digit replicate; 1–2 sequenced in 2025, 3–5 in 2026.</t>
        </is>
      </c>
    </row>
    <row r="62" ht="27.75" customHeight="1" s="12">
      <c r="A62" s="20" t="inlineStr">
        <is>
          <t>Trimming: Trimmomatic 0.39, ILLUMINACLIP:TruSeq3-PE.fa:2:30:10:2:True LEADING:3 TRAILING:3 SLIDINGWINDOW:4:20 MINLEN:50. Adapters were searched for in each library's FastQC over-represented sequences; none was found in any library, so all were trimmed against TruSeq3-PE. 'Pairs retained' counts pairs in which both mates survived; only these were aligned.</t>
        </is>
      </c>
    </row>
    <row r="63" ht="27.75" customHeight="1" s="12">
      <c r="A63" s="20" t="inlineStr">
        <is>
          <t>Alignment: HISAT2 2.2.1 (--dta, --known-splicesite-infile) to the GRCm38 primary assembly with a transcript-aware index and GENCODE vM25 splice sites. The unaligned fraction of GSE183742 is dominated by 45S pre-rRNA spacer sequence (Supplementary Methods S13).</t>
        </is>
      </c>
    </row>
    <row r="64" ht="27.75" customHeight="1" s="12">
      <c r="A64" s="20" t="inlineStr">
        <is>
          <t>Counting: featureCounts (Subread 2.0.6), fragments (-p --countReadPairs -B -C), -t exon -g gene_id -O -M --primary -Q 10, GENCODE vM25; -s 0 for this study and -s 2 for GSE183742, as measured (sheet 'Strandedness'). Libraries of each study counted in a single invocation.</t>
        </is>
      </c>
    </row>
    <row r="65" ht="27.75" customHeight="1" s="12">
      <c r="A65" s="20" t="inlineStr">
        <is>
          <t>'Fragments in matrix' sums the gene-count column; it can exceed 'Fragments assigned' because -O counts a fragment overlapping two genes for both.</t>
        </is>
      </c>
    </row>
    <row r="66" ht="27.75" customHeight="1" s="12">
      <c r="A66" s="20" t="inlineStr">
        <is>
          <t>Reproducibility: 'reprocessed' is the count matrix of record, produced from raw reads with the released upstream pipeline (commit 9182fd5, 26 September 2026); it is the matrix deposited in GEO (GSE348661) and used for every result in the paper. 'August 2026' is the earlier matrix it replaced. The two differ by at most 31 fragments per library and at most 26 for any single gene, and the Pearson correlation of log2(count + 1) between them exceeded 0.99999 in every library; GSE183742 reproduced identically.</t>
        </is>
      </c>
    </row>
    <row r="67" ht="27.75" customHeight="1" s="12">
      <c r="A67" s="20" t="inlineStr">
        <is>
          <t>Per-library raw FASTQ MD5 checksums are in sheet 'Raw file checksums'; software versions and reference checksums in sheet 'Software and reference'.</t>
        </is>
      </c>
    </row>
  </sheetData>
  <mergeCells count="8">
    <mergeCell ref="A62:R62"/>
    <mergeCell ref="A64:R64"/>
    <mergeCell ref="A65:R65"/>
    <mergeCell ref="A2:R2"/>
    <mergeCell ref="A63:R63"/>
    <mergeCell ref="A66:R66"/>
    <mergeCell ref="A67:R67"/>
    <mergeCell ref="A61:R6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0" customWidth="1" style="11" min="1" max="1"/>
    <col width="11" customWidth="1" style="11" min="2" max="2"/>
    <col width="15" customWidth="1" style="11" min="3" max="5"/>
    <col width="11" customWidth="1" style="11" min="6" max="7"/>
    <col width="26" customWidth="1" style="11" min="8" max="8"/>
  </cols>
  <sheetData>
    <row r="1" ht="15" customHeight="1" s="12">
      <c r="A1" s="13" t="inlineStr">
        <is>
          <t>Library strandedness, measured</t>
        </is>
      </c>
    </row>
    <row r="2" ht="42" customHeight="1" s="12">
      <c r="A2" s="14" t="inlineStr">
        <is>
          <t>Mean fraction of fragments assigned to genes by featureCounts at each strand setting, over the libraries tested per dataset. Equal assignment at -s 1 and -s 2, each about half of -s 0, indicates an unstranded library; assignment collapsing at -s 1 but not -s 2 indicates a reverse-stranded library.</t>
        </is>
      </c>
    </row>
    <row r="3"/>
    <row r="4" ht="43.5" customHeight="1" s="12">
      <c r="A4" s="15" t="inlineStr">
        <is>
          <t>Dataset</t>
        </is>
      </c>
      <c r="B4" s="15" t="inlineStr">
        <is>
          <t>Libraries tested</t>
        </is>
      </c>
      <c r="C4" s="15" t="inlineStr">
        <is>
          <t>Assigned, -s 0 (unstranded)</t>
        </is>
      </c>
      <c r="D4" s="15" t="inlineStr">
        <is>
          <t>Assigned, -s 1 (forward)</t>
        </is>
      </c>
      <c r="E4" s="15" t="inlineStr">
        <is>
          <t>Assigned, -s 2 (reverse)</t>
        </is>
      </c>
      <c r="F4" s="15" t="inlineStr">
        <is>
          <t>-s 1 / -s 0</t>
        </is>
      </c>
      <c r="G4" s="15" t="inlineStr">
        <is>
          <t>-s 2 / -s 0</t>
        </is>
      </c>
      <c r="H4" s="15" t="inlineStr">
        <is>
          <t>Call; setting used for counting</t>
        </is>
      </c>
    </row>
    <row r="5" ht="15" customHeight="1" s="12">
      <c r="A5" s="16" t="inlineStr">
        <is>
          <t>Lauderdale 2025</t>
        </is>
      </c>
      <c r="B5" s="16" t="n">
        <v>3</v>
      </c>
      <c r="C5" s="18" t="n">
        <v>0.6555</v>
      </c>
      <c r="D5" s="18" t="n">
        <v>0.350967</v>
      </c>
      <c r="E5" s="18" t="n">
        <v>0.341533</v>
      </c>
      <c r="F5" s="18">
        <f>D5/C5</f>
        <v/>
      </c>
      <c r="G5" s="18">
        <f>E5/C5</f>
        <v/>
      </c>
      <c r="H5" s="16" t="inlineStr">
        <is>
          <t>Unstranded; -s 0</t>
        </is>
      </c>
    </row>
    <row r="6" ht="15" customHeight="1" s="12">
      <c r="A6" s="16" t="inlineStr">
        <is>
          <t>Lauderdale 2026</t>
        </is>
      </c>
      <c r="B6" s="16" t="n">
        <v>3</v>
      </c>
      <c r="C6" s="18" t="n">
        <v>0.734433</v>
      </c>
      <c r="D6" s="18" t="n">
        <v>0.378433</v>
      </c>
      <c r="E6" s="18" t="n">
        <v>0.383033</v>
      </c>
      <c r="F6" s="18">
        <f>D6/C6</f>
        <v/>
      </c>
      <c r="G6" s="18">
        <f>E6/C6</f>
        <v/>
      </c>
      <c r="H6" s="16" t="inlineStr">
        <is>
          <t>Unstranded; -s 0</t>
        </is>
      </c>
    </row>
    <row r="7" ht="15" customHeight="1" s="12">
      <c r="A7" s="16" t="inlineStr">
        <is>
          <t>Duncan GSE183742</t>
        </is>
      </c>
      <c r="B7" s="16" t="n">
        <v>3</v>
      </c>
      <c r="C7" s="18" t="n">
        <v>0.3498</v>
      </c>
      <c r="D7" s="18" t="n">
        <v>0.019633</v>
      </c>
      <c r="E7" s="18" t="n">
        <v>0.342167</v>
      </c>
      <c r="F7" s="18">
        <f>D7/C7</f>
        <v/>
      </c>
      <c r="G7" s="18">
        <f>E7/C7</f>
        <v/>
      </c>
      <c r="H7" s="16" t="inlineStr">
        <is>
          <t>Reverse-stranded; -s 2</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D2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11" min="1" max="1"/>
    <col width="34" customWidth="1" style="11" min="2" max="2"/>
    <col width="36" customWidth="1" style="11" min="3" max="3"/>
    <col width="62" customWidth="1" style="11" min="4" max="4"/>
  </cols>
  <sheetData>
    <row r="1" ht="15" customHeight="1" s="12">
      <c r="A1" s="13" t="inlineStr">
        <is>
          <t>Software versions and reference files</t>
        </is>
      </c>
    </row>
    <row r="2" ht="15" customHeight="1" s="12">
      <c r="A2" s="21" t="inlineStr">
        <is>
          <t>Versions as reported by each program when run; reference files identified by MD5 checksum.</t>
        </is>
      </c>
    </row>
    <row r="3"/>
    <row r="4" ht="15" customHeight="1" s="12">
      <c r="A4" s="15" t="inlineStr">
        <is>
          <t>Program</t>
        </is>
      </c>
      <c r="B4" s="15" t="inlineStr">
        <is>
          <t>Version reported</t>
        </is>
      </c>
      <c r="C4" s="15" t="inlineStr">
        <is>
          <t>Lmod module</t>
        </is>
      </c>
      <c r="D4" s="15" t="inlineStr">
        <is>
          <t>Used for</t>
        </is>
      </c>
    </row>
    <row r="5" ht="15" customHeight="1" s="12">
      <c r="A5" s="16" t="inlineStr">
        <is>
          <t>FastQC</t>
        </is>
      </c>
      <c r="B5" s="16" t="inlineStr">
        <is>
          <t>0.12.1</t>
        </is>
      </c>
      <c r="C5" s="16" t="inlineStr">
        <is>
          <t>FastQC/0.12.1-Java-11</t>
        </is>
      </c>
      <c r="D5" s="16" t="inlineStr">
        <is>
          <t>read QC before and after trimming (both mates)</t>
        </is>
      </c>
    </row>
    <row r="6" ht="15" customHeight="1" s="12">
      <c r="A6" s="16" t="inlineStr">
        <is>
          <t>Trimmomatic</t>
        </is>
      </c>
      <c r="B6" s="16" t="inlineStr">
        <is>
          <t>0.39</t>
        </is>
      </c>
      <c r="C6" s="16" t="inlineStr">
        <is>
          <t>Trimmomatic/0.39-Java-17</t>
        </is>
      </c>
      <c r="D6" s="16" t="inlineStr">
        <is>
          <t>adapter and quality trimming</t>
        </is>
      </c>
    </row>
    <row r="7" ht="15" customHeight="1" s="12">
      <c r="A7" s="16" t="inlineStr">
        <is>
          <t>HISAT2</t>
        </is>
      </c>
      <c r="B7" s="16" t="inlineStr">
        <is>
          <t>2.2.1</t>
        </is>
      </c>
      <c r="C7" s="16" t="inlineStr">
        <is>
          <t>HISAT2/2.2.1-gompi-2023a</t>
        </is>
      </c>
      <c r="D7" s="16" t="inlineStr">
        <is>
          <t>alignment</t>
        </is>
      </c>
    </row>
    <row r="8" ht="15" customHeight="1" s="12">
      <c r="A8" s="16" t="inlineStr">
        <is>
          <t>SAMtools</t>
        </is>
      </c>
      <c r="B8" s="16" t="inlineStr">
        <is>
          <t>1.18</t>
        </is>
      </c>
      <c r="C8" s="16" t="inlineStr">
        <is>
          <t>SAMtools/1.18-GCC-12.3.0</t>
        </is>
      </c>
      <c r="D8" s="16" t="inlineStr">
        <is>
          <t>sorting, indexing, BAM checks</t>
        </is>
      </c>
    </row>
    <row r="9" ht="15" customHeight="1" s="12">
      <c r="A9" s="16" t="inlineStr">
        <is>
          <t>featureCounts (Subread)</t>
        </is>
      </c>
      <c r="B9" s="16" t="inlineStr">
        <is>
          <t>2.0.6</t>
        </is>
      </c>
      <c r="C9" s="16" t="inlineStr">
        <is>
          <t>Subread/2.0.6-GCC-12.3.0</t>
        </is>
      </c>
      <c r="D9" s="16" t="inlineStr">
        <is>
          <t>featureCounts: strand check and gene counts</t>
        </is>
      </c>
    </row>
    <row r="10" ht="15" customHeight="1" s="12">
      <c r="A10" s="16" t="inlineStr">
        <is>
          <t>MultiQC</t>
        </is>
      </c>
      <c r="B10" s="16" t="inlineStr">
        <is>
          <t>1.28</t>
        </is>
      </c>
      <c r="C10" s="16" t="inlineStr">
        <is>
          <t>MultiQC/1.28-foss-2024a</t>
        </is>
      </c>
      <c r="D10" s="16" t="inlineStr">
        <is>
          <t>QC report aggregation</t>
        </is>
      </c>
    </row>
    <row r="11"/>
    <row r="12" ht="15" customHeight="1" s="12">
      <c r="A12" s="15" t="inlineStr">
        <is>
          <t>Reference item</t>
        </is>
      </c>
      <c r="B12" s="15" t="inlineStr">
        <is>
          <t>File</t>
        </is>
      </c>
      <c r="C12" s="15" t="inlineStr">
        <is>
          <t>MD5</t>
        </is>
      </c>
      <c r="D12" s="15" t="inlineStr">
        <is>
          <t>Detail</t>
        </is>
      </c>
    </row>
    <row r="13" ht="15" customHeight="1" s="12">
      <c r="A13" s="16" t="inlineStr">
        <is>
          <t>Genome, GRCm38 primary assembly</t>
        </is>
      </c>
      <c r="B13" s="16" t="inlineStr">
        <is>
          <t>GRCm38.primary_assembly.genome.fa</t>
        </is>
      </c>
      <c r="C13" s="16" t="inlineStr">
        <is>
          <t>4e004c5032ade9aa37cc795890051f7c</t>
        </is>
      </c>
      <c r="D13" s="16" t="inlineStr">
        <is>
          <t>66 sequences</t>
        </is>
      </c>
    </row>
    <row r="14" ht="15" customHeight="1" s="12">
      <c r="A14" s="16" t="inlineStr">
        <is>
          <t>Annotation, GENCODE vM25</t>
        </is>
      </c>
      <c r="B14" s="16" t="inlineStr">
        <is>
          <t>gencode.vM25.annotation.gtf</t>
        </is>
      </c>
      <c r="C14" s="16" t="inlineStr">
        <is>
          <t>75cb25c2d2ef1faaeaf0a86b67e38e61</t>
        </is>
      </c>
      <c r="D14" s="16" t="inlineStr">
        <is>
          <t>55401 genes</t>
        </is>
      </c>
    </row>
    <row r="15" ht="15" customHeight="1" s="12">
      <c r="A15" s="16" t="inlineStr">
        <is>
          <t>Known splice sites (from vM25)</t>
        </is>
      </c>
      <c r="B15" s="16" t="inlineStr">
        <is>
          <t>splice_sites.txt</t>
        </is>
      </c>
      <c r="C15" s="16" t="inlineStr">
        <is>
          <t>575fb099e313515af615f87bc7557507</t>
        </is>
      </c>
      <c r="D15" s="16" t="inlineStr">
        <is>
          <t>284754 junctions</t>
        </is>
      </c>
    </row>
    <row r="16" ht="15" customHeight="1" s="12">
      <c r="A16" s="16" t="inlineStr">
        <is>
          <t>HISAT2 index file</t>
        </is>
      </c>
      <c r="B16" s="16" t="inlineStr">
        <is>
          <t>genome_snp_tran.1.ht2</t>
        </is>
      </c>
      <c r="C16" s="16" t="inlineStr">
        <is>
          <t>91f581e658c1b706d0b6e5849ee14bbc</t>
        </is>
      </c>
      <c r="D16" s="16" t="inlineStr">
        <is>
          <t>1639917308 bytes</t>
        </is>
      </c>
    </row>
    <row r="17" ht="15" customHeight="1" s="12">
      <c r="A17" s="16" t="inlineStr">
        <is>
          <t>HISAT2 index file</t>
        </is>
      </c>
      <c r="B17" s="16" t="inlineStr">
        <is>
          <t>genome_snp_tran.2.ht2</t>
        </is>
      </c>
      <c r="C17" s="16" t="inlineStr">
        <is>
          <t>4b5ffd8350439847ba655249a27a58d9</t>
        </is>
      </c>
      <c r="D17" s="16" t="inlineStr">
        <is>
          <t>664439580 bytes</t>
        </is>
      </c>
    </row>
    <row r="18" ht="15" customHeight="1" s="12">
      <c r="A18" s="16" t="inlineStr">
        <is>
          <t>HISAT2 index file</t>
        </is>
      </c>
      <c r="B18" s="16" t="inlineStr">
        <is>
          <t>genome_snp_tran.3.ht2</t>
        </is>
      </c>
      <c r="C18" s="16" t="inlineStr">
        <is>
          <t>2e775a5c9d6051b35cdf2cb42f7d77b8</t>
        </is>
      </c>
      <c r="D18" s="16" t="inlineStr">
        <is>
          <t>6119 bytes</t>
        </is>
      </c>
    </row>
    <row r="19" ht="15" customHeight="1" s="12">
      <c r="A19" s="16" t="inlineStr">
        <is>
          <t>HISAT2 index file</t>
        </is>
      </c>
      <c r="B19" s="16" t="inlineStr">
        <is>
          <t>genome_snp_tran.4.ht2</t>
        </is>
      </c>
      <c r="C19" s="16" t="inlineStr">
        <is>
          <t>47e46bd7c5541beba3dd047feed3db9c</t>
        </is>
      </c>
      <c r="D19" s="16" t="inlineStr">
        <is>
          <t>663195875 bytes</t>
        </is>
      </c>
    </row>
    <row r="20" ht="15" customHeight="1" s="12">
      <c r="A20" s="16" t="inlineStr">
        <is>
          <t>HISAT2 index file</t>
        </is>
      </c>
      <c r="B20" s="16" t="inlineStr">
        <is>
          <t>genome_snp_tran.5.ht2</t>
        </is>
      </c>
      <c r="C20" s="16" t="inlineStr">
        <is>
          <t>f921c0614354fc13c1249f40e57293b2</t>
        </is>
      </c>
      <c r="D20" s="16" t="inlineStr">
        <is>
          <t>1523657177 bytes</t>
        </is>
      </c>
    </row>
    <row r="21" ht="15" customHeight="1" s="12">
      <c r="A21" s="16" t="inlineStr">
        <is>
          <t>HISAT2 index file</t>
        </is>
      </c>
      <c r="B21" s="16" t="inlineStr">
        <is>
          <t>genome_snp_tran.6.ht2</t>
        </is>
      </c>
      <c r="C21" s="16" t="inlineStr">
        <is>
          <t>2f5376317123e3aeeed2a7c6adfc593a</t>
        </is>
      </c>
      <c r="D21" s="16" t="inlineStr">
        <is>
          <t>675646754 bytes</t>
        </is>
      </c>
    </row>
    <row r="22" ht="15" customHeight="1" s="12">
      <c r="A22" s="16" t="inlineStr">
        <is>
          <t>HISAT2 index file</t>
        </is>
      </c>
      <c r="B22" s="16" t="inlineStr">
        <is>
          <t>genome_snp_tran.7.ht2</t>
        </is>
      </c>
      <c r="C22" s="16" t="inlineStr">
        <is>
          <t>647c60f6c240aa1c46db65e605222ff1</t>
        </is>
      </c>
      <c r="D22" s="16" t="inlineStr">
        <is>
          <t>11284752 bytes</t>
        </is>
      </c>
    </row>
    <row r="23" ht="15" customHeight="1" s="12">
      <c r="A23" s="16" t="inlineStr">
        <is>
          <t>HISAT2 index file</t>
        </is>
      </c>
      <c r="B23" s="16" t="inlineStr">
        <is>
          <t>genome_snp_tran.8.ht2</t>
        </is>
      </c>
      <c r="C23" s="16" t="inlineStr">
        <is>
          <t>8793b3195a6eef31b17ae66f4a6755bd</t>
        </is>
      </c>
      <c r="D23" s="16" t="inlineStr">
        <is>
          <t>2251979 bytes</t>
        </is>
      </c>
    </row>
    <row r="24" ht="15" customHeight="1" s="12">
      <c r="A24" s="16" t="inlineStr">
        <is>
          <t>HISAT2 index contents</t>
        </is>
      </c>
      <c r="B24" s="16" t="inlineStr">
        <is>
          <t>genome_snp_tran</t>
        </is>
      </c>
      <c r="C24" s="16" t="n"/>
      <c r="D24" s="16" t="inlineStr">
        <is>
          <t>transcript-aware: splice sites and exons built in; no SNPs (hisat2-inspect). Directory name genome_snp_tran notwithstanding.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F58"/>
  <sheetViews>
    <sheetView showFormulas="0" showGridLines="1"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0"/>
  <cols>
    <col width="13" customWidth="1" style="11" min="1" max="1"/>
    <col width="19" customWidth="1" style="11" min="2" max="2"/>
    <col width="26" customWidth="1" style="11" min="3" max="3"/>
    <col width="36" customWidth="1" style="11" min="4" max="4"/>
    <col width="26" customWidth="1" style="11" min="5" max="5"/>
    <col width="36" customWidth="1" style="11" min="6" max="6"/>
  </cols>
  <sheetData>
    <row r="1" ht="15" customHeight="1" s="12">
      <c r="A1" s="13" t="inlineStr">
        <is>
          <t>Raw FASTQ files and MD5 checksums</t>
        </is>
      </c>
    </row>
    <row r="2" ht="15" customHeight="1" s="12">
      <c r="A2" s="21" t="inlineStr">
        <is>
          <t>Checksums computed on the raw files as processed. The raw files of this study were verified against the sequencing provider's checksums before processing (Supplementary Methods S3).</t>
        </is>
      </c>
    </row>
    <row r="3"/>
    <row r="4" ht="15" customHeight="1" s="12">
      <c r="A4" s="15" t="inlineStr">
        <is>
          <t>Library</t>
        </is>
      </c>
      <c r="B4" s="15" t="inlineStr">
        <is>
          <t>Dataset</t>
        </is>
      </c>
      <c r="C4" s="15" t="inlineStr">
        <is>
          <t>Read 1 file</t>
        </is>
      </c>
      <c r="D4" s="15" t="inlineStr">
        <is>
          <t>Read 1 MD5</t>
        </is>
      </c>
      <c r="E4" s="15" t="inlineStr">
        <is>
          <t>Read 2 file</t>
        </is>
      </c>
      <c r="F4" s="15" t="inlineStr">
        <is>
          <t>Read 2 MD5</t>
        </is>
      </c>
    </row>
    <row r="5" ht="15" customHeight="1" s="12">
      <c r="A5" s="16" t="inlineStr">
        <is>
          <t>B_CW1</t>
        </is>
      </c>
      <c r="B5" s="16" t="inlineStr">
        <is>
          <t>Lauderdale 2025</t>
        </is>
      </c>
      <c r="C5" s="16" t="inlineStr">
        <is>
          <t>B_CW1_1.fq.gz</t>
        </is>
      </c>
      <c r="D5" s="16" t="inlineStr">
        <is>
          <t>9a9d18632b6504acafbc08391aa31c3e</t>
        </is>
      </c>
      <c r="E5" s="16" t="inlineStr">
        <is>
          <t>B_CW1_2.fq.gz</t>
        </is>
      </c>
      <c r="F5" s="16" t="inlineStr">
        <is>
          <t>e1ab9e60986412cc4a7002ad8eb18732</t>
        </is>
      </c>
    </row>
    <row r="6" ht="15" customHeight="1" s="12">
      <c r="A6" s="16" t="inlineStr">
        <is>
          <t>B_CW3</t>
        </is>
      </c>
      <c r="B6" s="16" t="inlineStr">
        <is>
          <t>Lauderdale 2026</t>
        </is>
      </c>
      <c r="C6" s="16" t="inlineStr">
        <is>
          <t>B_CW3_1.fq.gz</t>
        </is>
      </c>
      <c r="D6" s="16" t="inlineStr">
        <is>
          <t>9226cfded36da71ca308e9788249358a</t>
        </is>
      </c>
      <c r="E6" s="16" t="inlineStr">
        <is>
          <t>B_CW3_2.fq.gz</t>
        </is>
      </c>
      <c r="F6" s="16" t="inlineStr">
        <is>
          <t>edfe50c31dfae59bc687ef06b810aadc</t>
        </is>
      </c>
    </row>
    <row r="7" ht="15" customHeight="1" s="12">
      <c r="A7" s="16" t="inlineStr">
        <is>
          <t>B_CW4</t>
        </is>
      </c>
      <c r="B7" s="16" t="inlineStr">
        <is>
          <t>Lauderdale 2026</t>
        </is>
      </c>
      <c r="C7" s="16" t="inlineStr">
        <is>
          <t>B_CW4_1.fq.gz</t>
        </is>
      </c>
      <c r="D7" s="16" t="inlineStr">
        <is>
          <t>6cfc62ad78646578b699431617914fff</t>
        </is>
      </c>
      <c r="E7" s="16" t="inlineStr">
        <is>
          <t>B_CW4_2.fq.gz</t>
        </is>
      </c>
      <c r="F7" s="16" t="inlineStr">
        <is>
          <t>a753dd207bb26f1ba9098802b066bbca</t>
        </is>
      </c>
    </row>
    <row r="8" ht="15" customHeight="1" s="12">
      <c r="A8" s="16" t="inlineStr">
        <is>
          <t>B_CW5</t>
        </is>
      </c>
      <c r="B8" s="16" t="inlineStr">
        <is>
          <t>Lauderdale 2026</t>
        </is>
      </c>
      <c r="C8" s="16" t="inlineStr">
        <is>
          <t>B_CW5_1.fq.gz</t>
        </is>
      </c>
      <c r="D8" s="16" t="inlineStr">
        <is>
          <t>e8aade7e15c6dea8c8ab07ca4e89955d</t>
        </is>
      </c>
      <c r="E8" s="16" t="inlineStr">
        <is>
          <t>B_CW5_2.fq.gz</t>
        </is>
      </c>
      <c r="F8" s="16" t="inlineStr">
        <is>
          <t>2b3fe9d17f7276de3392f0646b62bf4d</t>
        </is>
      </c>
    </row>
    <row r="9" ht="15" customHeight="1" s="12">
      <c r="A9" s="16" t="inlineStr">
        <is>
          <t>B_CU1</t>
        </is>
      </c>
      <c r="B9" s="16" t="inlineStr">
        <is>
          <t>Lauderdale 2025</t>
        </is>
      </c>
      <c r="C9" s="16" t="inlineStr">
        <is>
          <t>B_CU1_1.fq.gz</t>
        </is>
      </c>
      <c r="D9" s="16" t="inlineStr">
        <is>
          <t>493bee7cf1dedc9f561ea7f09f34178e</t>
        </is>
      </c>
      <c r="E9" s="16" t="inlineStr">
        <is>
          <t>B_CU1_2.fq.gz</t>
        </is>
      </c>
      <c r="F9" s="16" t="inlineStr">
        <is>
          <t>93321c247b24585809da6dd4f589e2ed</t>
        </is>
      </c>
    </row>
    <row r="10" ht="15" customHeight="1" s="12">
      <c r="A10" s="16" t="inlineStr">
        <is>
          <t>B_CU2</t>
        </is>
      </c>
      <c r="B10" s="16" t="inlineStr">
        <is>
          <t>Lauderdale 2025</t>
        </is>
      </c>
      <c r="C10" s="16" t="inlineStr">
        <is>
          <t>B_CU2_1.fq.gz</t>
        </is>
      </c>
      <c r="D10" s="16" t="inlineStr">
        <is>
          <t>2e772f36160f77f4f925b25c037fb3df</t>
        </is>
      </c>
      <c r="E10" s="16" t="inlineStr">
        <is>
          <t>B_CU2_2.fq.gz</t>
        </is>
      </c>
      <c r="F10" s="16" t="inlineStr">
        <is>
          <t>1e14dca4cdece975ba087f972335c66f</t>
        </is>
      </c>
    </row>
    <row r="11" ht="15" customHeight="1" s="12">
      <c r="A11" s="16" t="inlineStr">
        <is>
          <t>B_CU3</t>
        </is>
      </c>
      <c r="B11" s="16" t="inlineStr">
        <is>
          <t>Lauderdale 2026</t>
        </is>
      </c>
      <c r="C11" s="16" t="inlineStr">
        <is>
          <t>B_CU3_1.fq.gz</t>
        </is>
      </c>
      <c r="D11" s="16" t="inlineStr">
        <is>
          <t>bfcc46b267458c3c8c6d8f0595797a57</t>
        </is>
      </c>
      <c r="E11" s="16" t="inlineStr">
        <is>
          <t>B_CU3_2.fq.gz</t>
        </is>
      </c>
      <c r="F11" s="16" t="inlineStr">
        <is>
          <t>168b1eb8347755a2f8dce4691b5d174e</t>
        </is>
      </c>
    </row>
    <row r="12" ht="15" customHeight="1" s="12">
      <c r="A12" s="16" t="inlineStr">
        <is>
          <t>B_CU4</t>
        </is>
      </c>
      <c r="B12" s="16" t="inlineStr">
        <is>
          <t>Lauderdale 2026</t>
        </is>
      </c>
      <c r="C12" s="16" t="inlineStr">
        <is>
          <t>B_CU4_1.fq.gz</t>
        </is>
      </c>
      <c r="D12" s="16" t="inlineStr">
        <is>
          <t>b263d0d1fc498dbb96ebb47dcb58658c</t>
        </is>
      </c>
      <c r="E12" s="16" t="inlineStr">
        <is>
          <t>B_CU4_2.fq.gz</t>
        </is>
      </c>
      <c r="F12" s="16" t="inlineStr">
        <is>
          <t>18ed80dc4dbe2f261a76ce0534148692</t>
        </is>
      </c>
    </row>
    <row r="13" ht="15" customHeight="1" s="12">
      <c r="A13" s="16" t="inlineStr">
        <is>
          <t>B_CU5</t>
        </is>
      </c>
      <c r="B13" s="16" t="inlineStr">
        <is>
          <t>Lauderdale 2026</t>
        </is>
      </c>
      <c r="C13" s="16" t="inlineStr">
        <is>
          <t>B_CU5_1.fq.gz</t>
        </is>
      </c>
      <c r="D13" s="16" t="inlineStr">
        <is>
          <t>74c892faeb424fcb12411a802d2694ef</t>
        </is>
      </c>
      <c r="E13" s="16" t="inlineStr">
        <is>
          <t>B_CU5_2.fq.gz</t>
        </is>
      </c>
      <c r="F13" s="16" t="inlineStr">
        <is>
          <t>e3320450d313d562ef544eac37fb2ef9</t>
        </is>
      </c>
    </row>
    <row r="14" ht="15" customHeight="1" s="12">
      <c r="A14" s="16" t="inlineStr">
        <is>
          <t>K_CW1</t>
        </is>
      </c>
      <c r="B14" s="16" t="inlineStr">
        <is>
          <t>Lauderdale 2025</t>
        </is>
      </c>
      <c r="C14" s="16" t="inlineStr">
        <is>
          <t>K_CW1_1.fq.gz</t>
        </is>
      </c>
      <c r="D14" s="16" t="inlineStr">
        <is>
          <t>11fe069df7d97fbbdb3a91e9ffb96ae8</t>
        </is>
      </c>
      <c r="E14" s="16" t="inlineStr">
        <is>
          <t>K_CW1_2.fq.gz</t>
        </is>
      </c>
      <c r="F14" s="16" t="inlineStr">
        <is>
          <t>bca885582ba1cf9fd607642a9b6bb274</t>
        </is>
      </c>
    </row>
    <row r="15" ht="15" customHeight="1" s="12">
      <c r="A15" s="16" t="inlineStr">
        <is>
          <t>K_CW2</t>
        </is>
      </c>
      <c r="B15" s="16" t="inlineStr">
        <is>
          <t>Lauderdale 2025</t>
        </is>
      </c>
      <c r="C15" s="16" t="inlineStr">
        <is>
          <t>K_CW2_1.fq.gz</t>
        </is>
      </c>
      <c r="D15" s="16" t="inlineStr">
        <is>
          <t>f16967b7eddb9f50c983e3ae2a14c284</t>
        </is>
      </c>
      <c r="E15" s="16" t="inlineStr">
        <is>
          <t>K_CW2_2.fq.gz</t>
        </is>
      </c>
      <c r="F15" s="16" t="inlineStr">
        <is>
          <t>9de620d2f33abd1882d5aed203c4edaf</t>
        </is>
      </c>
    </row>
    <row r="16" ht="15" customHeight="1" s="12">
      <c r="A16" s="16" t="inlineStr">
        <is>
          <t>K_CW3</t>
        </is>
      </c>
      <c r="B16" s="16" t="inlineStr">
        <is>
          <t>Lauderdale 2026</t>
        </is>
      </c>
      <c r="C16" s="16" t="inlineStr">
        <is>
          <t>K_CW3_1.fq.gz</t>
        </is>
      </c>
      <c r="D16" s="16" t="inlineStr">
        <is>
          <t>be3cf502725624063daca069aa24762c</t>
        </is>
      </c>
      <c r="E16" s="16" t="inlineStr">
        <is>
          <t>K_CW3_2.fq.gz</t>
        </is>
      </c>
      <c r="F16" s="16" t="inlineStr">
        <is>
          <t>b0ae204cf89deb0278ee7f8c403bd1ac</t>
        </is>
      </c>
    </row>
    <row r="17" ht="15" customHeight="1" s="12">
      <c r="A17" s="16" t="inlineStr">
        <is>
          <t>K_CW4</t>
        </is>
      </c>
      <c r="B17" s="16" t="inlineStr">
        <is>
          <t>Lauderdale 2026</t>
        </is>
      </c>
      <c r="C17" s="16" t="inlineStr">
        <is>
          <t>K_CW4_1.fq.gz</t>
        </is>
      </c>
      <c r="D17" s="16" t="inlineStr">
        <is>
          <t>443900f7110e62cd77961f8f49edf45d</t>
        </is>
      </c>
      <c r="E17" s="16" t="inlineStr">
        <is>
          <t>K_CW4_2.fq.gz</t>
        </is>
      </c>
      <c r="F17" s="16" t="inlineStr">
        <is>
          <t>a6978cfdc030522e9073cfd1cc967781</t>
        </is>
      </c>
    </row>
    <row r="18" ht="15" customHeight="1" s="12">
      <c r="A18" s="16" t="inlineStr">
        <is>
          <t>K_CW5</t>
        </is>
      </c>
      <c r="B18" s="16" t="inlineStr">
        <is>
          <t>Lauderdale 2026</t>
        </is>
      </c>
      <c r="C18" s="16" t="inlineStr">
        <is>
          <t>K_CW5_1.fq.gz</t>
        </is>
      </c>
      <c r="D18" s="16" t="inlineStr">
        <is>
          <t>be744d528cb4991ced124fc42726ed3c</t>
        </is>
      </c>
      <c r="E18" s="16" t="inlineStr">
        <is>
          <t>K_CW5_2.fq.gz</t>
        </is>
      </c>
      <c r="F18" s="16" t="inlineStr">
        <is>
          <t>bf3b2d7cbf499bed95570845eb841489</t>
        </is>
      </c>
    </row>
    <row r="19" ht="15" customHeight="1" s="12">
      <c r="A19" s="16" t="inlineStr">
        <is>
          <t>K_CU1</t>
        </is>
      </c>
      <c r="B19" s="16" t="inlineStr">
        <is>
          <t>Lauderdale 2025</t>
        </is>
      </c>
      <c r="C19" s="16" t="inlineStr">
        <is>
          <t>K_CU1_1.fq.gz</t>
        </is>
      </c>
      <c r="D19" s="16" t="inlineStr">
        <is>
          <t>05adfb01dcd125d83f41df70914d0067</t>
        </is>
      </c>
      <c r="E19" s="16" t="inlineStr">
        <is>
          <t>K_CU1_2.fq.gz</t>
        </is>
      </c>
      <c r="F19" s="16" t="inlineStr">
        <is>
          <t>b188eb749b1f6710063872f5624363a4</t>
        </is>
      </c>
    </row>
    <row r="20" ht="15" customHeight="1" s="12">
      <c r="A20" s="16" t="inlineStr">
        <is>
          <t>K_CU2</t>
        </is>
      </c>
      <c r="B20" s="16" t="inlineStr">
        <is>
          <t>Lauderdale 2025</t>
        </is>
      </c>
      <c r="C20" s="16" t="inlineStr">
        <is>
          <t>K_CU2_1.fq.gz</t>
        </is>
      </c>
      <c r="D20" s="16" t="inlineStr">
        <is>
          <t>9bb90f4179fb73c1ded464747026ea36</t>
        </is>
      </c>
      <c r="E20" s="16" t="inlineStr">
        <is>
          <t>K_CU2_2.fq.gz</t>
        </is>
      </c>
      <c r="F20" s="16" t="inlineStr">
        <is>
          <t>df0de9f975940491adc09620cd1e7127</t>
        </is>
      </c>
    </row>
    <row r="21" ht="15" customHeight="1" s="12">
      <c r="A21" s="16" t="inlineStr">
        <is>
          <t>K_CU3</t>
        </is>
      </c>
      <c r="B21" s="16" t="inlineStr">
        <is>
          <t>Lauderdale 2026</t>
        </is>
      </c>
      <c r="C21" s="16" t="inlineStr">
        <is>
          <t>K_CU3_1.fq.gz</t>
        </is>
      </c>
      <c r="D21" s="16" t="inlineStr">
        <is>
          <t>c0c51542a7c96e89cdcf50da2963212a</t>
        </is>
      </c>
      <c r="E21" s="16" t="inlineStr">
        <is>
          <t>K_CU3_2.fq.gz</t>
        </is>
      </c>
      <c r="F21" s="16" t="inlineStr">
        <is>
          <t>e26fc11c2d395f53325184e92edc1eff</t>
        </is>
      </c>
    </row>
    <row r="22" ht="15" customHeight="1" s="12">
      <c r="A22" s="16" t="inlineStr">
        <is>
          <t>K_CU4</t>
        </is>
      </c>
      <c r="B22" s="16" t="inlineStr">
        <is>
          <t>Lauderdale 2026</t>
        </is>
      </c>
      <c r="C22" s="16" t="inlineStr">
        <is>
          <t>K_CU4_1.fq.gz</t>
        </is>
      </c>
      <c r="D22" s="16" t="inlineStr">
        <is>
          <t>702020dabbd91402156a87707b422bfa</t>
        </is>
      </c>
      <c r="E22" s="16" t="inlineStr">
        <is>
          <t>K_CU4_2.fq.gz</t>
        </is>
      </c>
      <c r="F22" s="16" t="inlineStr">
        <is>
          <t>819397178450b1ce403d0442f7e4d4fc</t>
        </is>
      </c>
    </row>
    <row r="23" ht="15" customHeight="1" s="12">
      <c r="A23" s="16" t="inlineStr">
        <is>
          <t>K_CU5</t>
        </is>
      </c>
      <c r="B23" s="16" t="inlineStr">
        <is>
          <t>Lauderdale 2026</t>
        </is>
      </c>
      <c r="C23" s="16" t="inlineStr">
        <is>
          <t>K_CU5_1.fq.gz</t>
        </is>
      </c>
      <c r="D23" s="16" t="inlineStr">
        <is>
          <t>7a326112706cb61566e9ba01d8607bbc</t>
        </is>
      </c>
      <c r="E23" s="16" t="inlineStr">
        <is>
          <t>K_CU5_2.fq.gz</t>
        </is>
      </c>
      <c r="F23" s="16" t="inlineStr">
        <is>
          <t>3c7fe0b7f2938d0a442a22ecd7be4381</t>
        </is>
      </c>
    </row>
    <row r="24" ht="15" customHeight="1" s="12">
      <c r="A24" s="16" t="inlineStr">
        <is>
          <t>A_CW1</t>
        </is>
      </c>
      <c r="B24" s="16" t="inlineStr">
        <is>
          <t>Lauderdale 2025</t>
        </is>
      </c>
      <c r="C24" s="16" t="inlineStr">
        <is>
          <t>A_CW1_1.fq.gz</t>
        </is>
      </c>
      <c r="D24" s="16" t="inlineStr">
        <is>
          <t>30913ff29ccfe219e0d4dc9edd02c97f</t>
        </is>
      </c>
      <c r="E24" s="16" t="inlineStr">
        <is>
          <t>A_CW1_2.fq.gz</t>
        </is>
      </c>
      <c r="F24" s="16" t="inlineStr">
        <is>
          <t>6d108d6c1e99c0b9ea1a843568ac0a33</t>
        </is>
      </c>
    </row>
    <row r="25" ht="15" customHeight="1" s="12">
      <c r="A25" s="16" t="inlineStr">
        <is>
          <t>A_CW2</t>
        </is>
      </c>
      <c r="B25" s="16" t="inlineStr">
        <is>
          <t>Lauderdale 2025</t>
        </is>
      </c>
      <c r="C25" s="16" t="inlineStr">
        <is>
          <t>A_CW2_1.fq.gz</t>
        </is>
      </c>
      <c r="D25" s="16" t="inlineStr">
        <is>
          <t>8d568403662a08f4c427678180b1ddae</t>
        </is>
      </c>
      <c r="E25" s="16" t="inlineStr">
        <is>
          <t>A_CW2_2.fq.gz</t>
        </is>
      </c>
      <c r="F25" s="16" t="inlineStr">
        <is>
          <t>a0df644b1a4289ee3c7a6a536bbf2ce9</t>
        </is>
      </c>
    </row>
    <row r="26" ht="15" customHeight="1" s="12">
      <c r="A26" s="16" t="inlineStr">
        <is>
          <t>A_CW3</t>
        </is>
      </c>
      <c r="B26" s="16" t="inlineStr">
        <is>
          <t>Lauderdale 2026</t>
        </is>
      </c>
      <c r="C26" s="16" t="inlineStr">
        <is>
          <t>A_CW3_1.fq.gz</t>
        </is>
      </c>
      <c r="D26" s="16" t="inlineStr">
        <is>
          <t>8205a084085759f40d24a41e57868835</t>
        </is>
      </c>
      <c r="E26" s="16" t="inlineStr">
        <is>
          <t>A_CW3_2.fq.gz</t>
        </is>
      </c>
      <c r="F26" s="16" t="inlineStr">
        <is>
          <t>a2dcc601300c26649f0c2db34acccd4b</t>
        </is>
      </c>
    </row>
    <row r="27" ht="15" customHeight="1" s="12">
      <c r="A27" s="16" t="inlineStr">
        <is>
          <t>A_CW4</t>
        </is>
      </c>
      <c r="B27" s="16" t="inlineStr">
        <is>
          <t>Lauderdale 2026</t>
        </is>
      </c>
      <c r="C27" s="16" t="inlineStr">
        <is>
          <t>A_CW4_1.fq.gz</t>
        </is>
      </c>
      <c r="D27" s="16" t="inlineStr">
        <is>
          <t>4cf48e2dab7808d3aec7a3b0f5c866da</t>
        </is>
      </c>
      <c r="E27" s="16" t="inlineStr">
        <is>
          <t>A_CW4_2.fq.gz</t>
        </is>
      </c>
      <c r="F27" s="16" t="inlineStr">
        <is>
          <t>61cda0620e868b30f59ced3741d1066f</t>
        </is>
      </c>
    </row>
    <row r="28" ht="15" customHeight="1" s="12">
      <c r="A28" s="16" t="inlineStr">
        <is>
          <t>A_CW5</t>
        </is>
      </c>
      <c r="B28" s="16" t="inlineStr">
        <is>
          <t>Lauderdale 2026</t>
        </is>
      </c>
      <c r="C28" s="16" t="inlineStr">
        <is>
          <t>A_CW5_1.fq.gz</t>
        </is>
      </c>
      <c r="D28" s="16" t="inlineStr">
        <is>
          <t>70dc87e47e40245f38b0ae5867b3e98d</t>
        </is>
      </c>
      <c r="E28" s="16" t="inlineStr">
        <is>
          <t>A_CW5_2.fq.gz</t>
        </is>
      </c>
      <c r="F28" s="16" t="inlineStr">
        <is>
          <t>a2f056ae97f12dba6eef5350fbef11c6</t>
        </is>
      </c>
    </row>
    <row r="29" ht="15" customHeight="1" s="12">
      <c r="A29" s="16" t="inlineStr">
        <is>
          <t>A_CU1</t>
        </is>
      </c>
      <c r="B29" s="16" t="inlineStr">
        <is>
          <t>Lauderdale 2025</t>
        </is>
      </c>
      <c r="C29" s="16" t="inlineStr">
        <is>
          <t>A_CU1_1.fq.gz</t>
        </is>
      </c>
      <c r="D29" s="16" t="inlineStr">
        <is>
          <t>56b924e8cfb36ed09ed5d82a889d141c</t>
        </is>
      </c>
      <c r="E29" s="16" t="inlineStr">
        <is>
          <t>A_CU1_2.fq.gz</t>
        </is>
      </c>
      <c r="F29" s="16" t="inlineStr">
        <is>
          <t>ebcf6f3c95ed99e23e2a15825cee4892</t>
        </is>
      </c>
    </row>
    <row r="30" ht="15" customHeight="1" s="12">
      <c r="A30" s="16" t="inlineStr">
        <is>
          <t>A_CU2</t>
        </is>
      </c>
      <c r="B30" s="16" t="inlineStr">
        <is>
          <t>Lauderdale 2025</t>
        </is>
      </c>
      <c r="C30" s="16" t="inlineStr">
        <is>
          <t>A_CU2_1.fq.gz</t>
        </is>
      </c>
      <c r="D30" s="16" t="inlineStr">
        <is>
          <t>ab94f125f8dc9b4705db700106dfbf46</t>
        </is>
      </c>
      <c r="E30" s="16" t="inlineStr">
        <is>
          <t>A_CU2_2.fq.gz</t>
        </is>
      </c>
      <c r="F30" s="16" t="inlineStr">
        <is>
          <t>e8aaf1f63af90491095334a5cf0cbfff</t>
        </is>
      </c>
    </row>
    <row r="31" ht="15" customHeight="1" s="12">
      <c r="A31" s="16" t="inlineStr">
        <is>
          <t>A_CU3</t>
        </is>
      </c>
      <c r="B31" s="16" t="inlineStr">
        <is>
          <t>Lauderdale 2026</t>
        </is>
      </c>
      <c r="C31" s="16" t="inlineStr">
        <is>
          <t>A_CU3_1.fq.gz</t>
        </is>
      </c>
      <c r="D31" s="16" t="inlineStr">
        <is>
          <t>3916c27f855e01e2fa7da5af942ce3b8</t>
        </is>
      </c>
      <c r="E31" s="16" t="inlineStr">
        <is>
          <t>A_CU3_2.fq.gz</t>
        </is>
      </c>
      <c r="F31" s="16" t="inlineStr">
        <is>
          <t>0010b2c2cf31c8873c326567c37e72a4</t>
        </is>
      </c>
    </row>
    <row r="32" ht="15" customHeight="1" s="12">
      <c r="A32" s="16" t="inlineStr">
        <is>
          <t>A_CU4</t>
        </is>
      </c>
      <c r="B32" s="16" t="inlineStr">
        <is>
          <t>Lauderdale 2026</t>
        </is>
      </c>
      <c r="C32" s="16" t="inlineStr">
        <is>
          <t>A_CU4_1.fq.gz</t>
        </is>
      </c>
      <c r="D32" s="16" t="inlineStr">
        <is>
          <t>8bc4a76b016c75b11ca371bb0fdee8d2</t>
        </is>
      </c>
      <c r="E32" s="16" t="inlineStr">
        <is>
          <t>A_CU4_2.fq.gz</t>
        </is>
      </c>
      <c r="F32" s="16" t="inlineStr">
        <is>
          <t>825be2cc50b591b8d01b215ad69e5ac9</t>
        </is>
      </c>
    </row>
    <row r="33" ht="15" customHeight="1" s="12">
      <c r="A33" s="16" t="inlineStr">
        <is>
          <t>A_CU5</t>
        </is>
      </c>
      <c r="B33" s="16" t="inlineStr">
        <is>
          <t>Lauderdale 2026</t>
        </is>
      </c>
      <c r="C33" s="16" t="inlineStr">
        <is>
          <t>A_CU5_1.fq.gz</t>
        </is>
      </c>
      <c r="D33" s="16" t="inlineStr">
        <is>
          <t>3ec15f093a28de1b57cef2fe97bdf40a</t>
        </is>
      </c>
      <c r="E33" s="16" t="inlineStr">
        <is>
          <t>A_CU5_2.fq.gz</t>
        </is>
      </c>
      <c r="F33" s="16" t="inlineStr">
        <is>
          <t>e71d638408fb37f169371189a57b330d</t>
        </is>
      </c>
    </row>
    <row r="34" ht="15" customHeight="1" s="12">
      <c r="A34" s="16" t="inlineStr">
        <is>
          <t>A_CO1</t>
        </is>
      </c>
      <c r="B34" s="16" t="inlineStr">
        <is>
          <t>Lauderdale 2025</t>
        </is>
      </c>
      <c r="C34" s="16" t="inlineStr">
        <is>
          <t>A_CO1_1.fq.gz</t>
        </is>
      </c>
      <c r="D34" s="16" t="inlineStr">
        <is>
          <t>4297ae2a4c2d5af06c6fbec8c5591f2a</t>
        </is>
      </c>
      <c r="E34" s="16" t="inlineStr">
        <is>
          <t>A_CO1_2.fq.gz</t>
        </is>
      </c>
      <c r="F34" s="16" t="inlineStr">
        <is>
          <t>a434b1bf2238e3eb580e44604d2e97be</t>
        </is>
      </c>
    </row>
    <row r="35" ht="15" customHeight="1" s="12">
      <c r="A35" s="16" t="inlineStr">
        <is>
          <t>A_CO2</t>
        </is>
      </c>
      <c r="B35" s="16" t="inlineStr">
        <is>
          <t>Lauderdale 2025</t>
        </is>
      </c>
      <c r="C35" s="16" t="inlineStr">
        <is>
          <t>A_CO2_1.fq.gz</t>
        </is>
      </c>
      <c r="D35" s="16" t="inlineStr">
        <is>
          <t>0e0d4ca240c3379838feebe73cea5673</t>
        </is>
      </c>
      <c r="E35" s="16" t="inlineStr">
        <is>
          <t>A_CO2_2.fq.gz</t>
        </is>
      </c>
      <c r="F35" s="16" t="inlineStr">
        <is>
          <t>cf0d18388fcf2122f72bff9c165045be</t>
        </is>
      </c>
    </row>
    <row r="36" ht="15" customHeight="1" s="12">
      <c r="A36" s="16" t="inlineStr">
        <is>
          <t>A_CO3</t>
        </is>
      </c>
      <c r="B36" s="16" t="inlineStr">
        <is>
          <t>Lauderdale 2026</t>
        </is>
      </c>
      <c r="C36" s="16" t="inlineStr">
        <is>
          <t>A_CO3_1.fq.gz</t>
        </is>
      </c>
      <c r="D36" s="16" t="inlineStr">
        <is>
          <t>09db5126c624e9f8eb9164597185e10f</t>
        </is>
      </c>
      <c r="E36" s="16" t="inlineStr">
        <is>
          <t>A_CO3_2.fq.gz</t>
        </is>
      </c>
      <c r="F36" s="16" t="inlineStr">
        <is>
          <t>624b1ca4c8c8c1bc051a2318031ef61c</t>
        </is>
      </c>
    </row>
    <row r="37" ht="15" customHeight="1" s="12">
      <c r="A37" s="16" t="inlineStr">
        <is>
          <t>A_CO4</t>
        </is>
      </c>
      <c r="B37" s="16" t="inlineStr">
        <is>
          <t>Lauderdale 2026</t>
        </is>
      </c>
      <c r="C37" s="16" t="inlineStr">
        <is>
          <t>A_CO4_1.fq.gz</t>
        </is>
      </c>
      <c r="D37" s="16" t="inlineStr">
        <is>
          <t>f27fdae2512bb758b674bc1db801c23f</t>
        </is>
      </c>
      <c r="E37" s="16" t="inlineStr">
        <is>
          <t>A_CO4_2.fq.gz</t>
        </is>
      </c>
      <c r="F37" s="16" t="inlineStr">
        <is>
          <t>25b0ad99c187a232fcba9f182e9db26d</t>
        </is>
      </c>
    </row>
    <row r="38" ht="15" customHeight="1" s="12">
      <c r="A38" s="16" t="inlineStr">
        <is>
          <t>A_CO5</t>
        </is>
      </c>
      <c r="B38" s="16" t="inlineStr">
        <is>
          <t>Lauderdale 2026</t>
        </is>
      </c>
      <c r="C38" s="16" t="inlineStr">
        <is>
          <t>A_CO5_1.fq.gz</t>
        </is>
      </c>
      <c r="D38" s="16" t="inlineStr">
        <is>
          <t>94e3a0b02e97c08d68679142a3ffab45</t>
        </is>
      </c>
      <c r="E38" s="16" t="inlineStr">
        <is>
          <t>A_CO5_2.fq.gz</t>
        </is>
      </c>
      <c r="F38" s="16" t="inlineStr">
        <is>
          <t>a8bbcfc7cd38e65571e9129c2a5692e1</t>
        </is>
      </c>
    </row>
    <row r="39" ht="15" customHeight="1" s="12">
      <c r="A39" s="16" t="inlineStr">
        <is>
          <t>B_TW1</t>
        </is>
      </c>
      <c r="B39" s="16" t="inlineStr">
        <is>
          <t>Lauderdale 2025</t>
        </is>
      </c>
      <c r="C39" s="16" t="inlineStr">
        <is>
          <t>B_TW1_1.fq.gz</t>
        </is>
      </c>
      <c r="D39" s="16" t="inlineStr">
        <is>
          <t>ccead4c3088dddfa8b67d2e47f817c08</t>
        </is>
      </c>
      <c r="E39" s="16" t="inlineStr">
        <is>
          <t>B_TW1_2.fq.gz</t>
        </is>
      </c>
      <c r="F39" s="16" t="inlineStr">
        <is>
          <t>3125f41faa0f7f64fa847682fa283887</t>
        </is>
      </c>
    </row>
    <row r="40" ht="15" customHeight="1" s="12">
      <c r="A40" s="16" t="inlineStr">
        <is>
          <t>B_TW2</t>
        </is>
      </c>
      <c r="B40" s="16" t="inlineStr">
        <is>
          <t>Lauderdale 2025</t>
        </is>
      </c>
      <c r="C40" s="16" t="inlineStr">
        <is>
          <t>B_TW2_1.fq.gz</t>
        </is>
      </c>
      <c r="D40" s="16" t="inlineStr">
        <is>
          <t>328446cc2c26a974ba3e1ed9f77370a5</t>
        </is>
      </c>
      <c r="E40" s="16" t="inlineStr">
        <is>
          <t>B_TW2_2.fq.gz</t>
        </is>
      </c>
      <c r="F40" s="16" t="inlineStr">
        <is>
          <t>03e87da95a430ae7eac6733625239f23</t>
        </is>
      </c>
    </row>
    <row r="41" ht="15" customHeight="1" s="12">
      <c r="A41" s="16" t="inlineStr">
        <is>
          <t>B_TU1</t>
        </is>
      </c>
      <c r="B41" s="16" t="inlineStr">
        <is>
          <t>Lauderdale 2025</t>
        </is>
      </c>
      <c r="C41" s="16" t="inlineStr">
        <is>
          <t>B_TU1_1.fq.gz</t>
        </is>
      </c>
      <c r="D41" s="16" t="inlineStr">
        <is>
          <t>86a172d4f984777a834a7950ec8a2e35</t>
        </is>
      </c>
      <c r="E41" s="16" t="inlineStr">
        <is>
          <t>B_TU1_2.fq.gz</t>
        </is>
      </c>
      <c r="F41" s="16" t="inlineStr">
        <is>
          <t>a730ccca7eabe2208c2998c626e2d9a0</t>
        </is>
      </c>
    </row>
    <row r="42" ht="15" customHeight="1" s="12">
      <c r="A42" s="16" t="inlineStr">
        <is>
          <t>B_TU2</t>
        </is>
      </c>
      <c r="B42" s="16" t="inlineStr">
        <is>
          <t>Lauderdale 2025</t>
        </is>
      </c>
      <c r="C42" s="16" t="inlineStr">
        <is>
          <t>B_TU2_1.fq.gz</t>
        </is>
      </c>
      <c r="D42" s="16" t="inlineStr">
        <is>
          <t>05ba278e1ac1c0f28f220a0563e43109</t>
        </is>
      </c>
      <c r="E42" s="16" t="inlineStr">
        <is>
          <t>B_TU2_2.fq.gz</t>
        </is>
      </c>
      <c r="F42" s="16" t="inlineStr">
        <is>
          <t>63c57ca6b22e9bd709a3f756a470aaf5</t>
        </is>
      </c>
    </row>
    <row r="43" ht="15" customHeight="1" s="12">
      <c r="A43" s="16" t="inlineStr">
        <is>
          <t>K_TW1</t>
        </is>
      </c>
      <c r="B43" s="16" t="inlineStr">
        <is>
          <t>Lauderdale 2025</t>
        </is>
      </c>
      <c r="C43" s="16" t="inlineStr">
        <is>
          <t>K_TW1_1.fq.gz</t>
        </is>
      </c>
      <c r="D43" s="16" t="inlineStr">
        <is>
          <t>bcdeef792615135ba7cdd427241c67d6</t>
        </is>
      </c>
      <c r="E43" s="16" t="inlineStr">
        <is>
          <t>K_TW1_2.fq.gz</t>
        </is>
      </c>
      <c r="F43" s="16" t="inlineStr">
        <is>
          <t>82951dc65c752e5e1740f073f54ddbe5</t>
        </is>
      </c>
    </row>
    <row r="44" ht="15" customHeight="1" s="12">
      <c r="A44" s="16" t="inlineStr">
        <is>
          <t>K_TW2</t>
        </is>
      </c>
      <c r="B44" s="16" t="inlineStr">
        <is>
          <t>Lauderdale 2025</t>
        </is>
      </c>
      <c r="C44" s="16" t="inlineStr">
        <is>
          <t>K_TW2_1.fq.gz</t>
        </is>
      </c>
      <c r="D44" s="16" t="inlineStr">
        <is>
          <t>88946c8ae143ae197d2e668c84cc81c9</t>
        </is>
      </c>
      <c r="E44" s="16" t="inlineStr">
        <is>
          <t>K_TW2_2.fq.gz</t>
        </is>
      </c>
      <c r="F44" s="16" t="inlineStr">
        <is>
          <t>8b63672ccd7f4731c71f8a801a1384d9</t>
        </is>
      </c>
    </row>
    <row r="45" ht="15" customHeight="1" s="12">
      <c r="A45" s="16" t="inlineStr">
        <is>
          <t>K_TU1</t>
        </is>
      </c>
      <c r="B45" s="16" t="inlineStr">
        <is>
          <t>Lauderdale 2025</t>
        </is>
      </c>
      <c r="C45" s="16" t="inlineStr">
        <is>
          <t>K_TU1_1.fq.gz</t>
        </is>
      </c>
      <c r="D45" s="16" t="inlineStr">
        <is>
          <t>97a4fde1f78c76a632b3f28084eb8ad3</t>
        </is>
      </c>
      <c r="E45" s="16" t="inlineStr">
        <is>
          <t>K_TU1_2.fq.gz</t>
        </is>
      </c>
      <c r="F45" s="16" t="inlineStr">
        <is>
          <t>4fafee3194f99402b40ec8d298d8f920</t>
        </is>
      </c>
    </row>
    <row r="46" ht="15" customHeight="1" s="12">
      <c r="A46" s="16" t="inlineStr">
        <is>
          <t>K_TU2</t>
        </is>
      </c>
      <c r="B46" s="16" t="inlineStr">
        <is>
          <t>Lauderdale 2025</t>
        </is>
      </c>
      <c r="C46" s="16" t="inlineStr">
        <is>
          <t>K_TU2_1.fq.gz</t>
        </is>
      </c>
      <c r="D46" s="16" t="inlineStr">
        <is>
          <t>d92c543ed3705c90df6d2b2befe7360b</t>
        </is>
      </c>
      <c r="E46" s="16" t="inlineStr">
        <is>
          <t>K_TU2_2.fq.gz</t>
        </is>
      </c>
      <c r="F46" s="16" t="inlineStr">
        <is>
          <t>06edee22a22dd78c87b46d39ad004f91</t>
        </is>
      </c>
    </row>
    <row r="47" ht="15" customHeight="1" s="12">
      <c r="A47" s="16" t="inlineStr">
        <is>
          <t>A_TW1</t>
        </is>
      </c>
      <c r="B47" s="16" t="inlineStr">
        <is>
          <t>Lauderdale 2025</t>
        </is>
      </c>
      <c r="C47" s="16" t="inlineStr">
        <is>
          <t>A_TW1_1.fq.gz</t>
        </is>
      </c>
      <c r="D47" s="16" t="inlineStr">
        <is>
          <t>e725d1d993277c03c6ecf7e4924dbcf2</t>
        </is>
      </c>
      <c r="E47" s="16" t="inlineStr">
        <is>
          <t>A_TW1_2.fq.gz</t>
        </is>
      </c>
      <c r="F47" s="16" t="inlineStr">
        <is>
          <t>e01e3aa3db39e724a9854b6bb603326b</t>
        </is>
      </c>
    </row>
    <row r="48" ht="15" customHeight="1" s="12">
      <c r="A48" s="16" t="inlineStr">
        <is>
          <t>A_TW2</t>
        </is>
      </c>
      <c r="B48" s="16" t="inlineStr">
        <is>
          <t>Lauderdale 2025</t>
        </is>
      </c>
      <c r="C48" s="16" t="inlineStr">
        <is>
          <t>A_TW2_1.fq.gz</t>
        </is>
      </c>
      <c r="D48" s="16" t="inlineStr">
        <is>
          <t>b0cfa62d194451e650876a100f9699df</t>
        </is>
      </c>
      <c r="E48" s="16" t="inlineStr">
        <is>
          <t>A_TW2_2.fq.gz</t>
        </is>
      </c>
      <c r="F48" s="16" t="inlineStr">
        <is>
          <t>b4c57a212dec2d07cebe16279d2f5583</t>
        </is>
      </c>
    </row>
    <row r="49" ht="15" customHeight="1" s="12">
      <c r="A49" s="16" t="inlineStr">
        <is>
          <t>A_TU1</t>
        </is>
      </c>
      <c r="B49" s="16" t="inlineStr">
        <is>
          <t>Lauderdale 2025</t>
        </is>
      </c>
      <c r="C49" s="16" t="inlineStr">
        <is>
          <t>A_TU1_1.fq.gz</t>
        </is>
      </c>
      <c r="D49" s="16" t="inlineStr">
        <is>
          <t>a00371b309e401352bf71267ad44aa07</t>
        </is>
      </c>
      <c r="E49" s="16" t="inlineStr">
        <is>
          <t>A_TU1_2.fq.gz</t>
        </is>
      </c>
      <c r="F49" s="16" t="inlineStr">
        <is>
          <t>aa3799f3d54f1415476213acb57774a7</t>
        </is>
      </c>
    </row>
    <row r="50" ht="15" customHeight="1" s="12">
      <c r="A50" s="16" t="inlineStr">
        <is>
          <t>A_TU2</t>
        </is>
      </c>
      <c r="B50" s="16" t="inlineStr">
        <is>
          <t>Lauderdale 2025</t>
        </is>
      </c>
      <c r="C50" s="16" t="inlineStr">
        <is>
          <t>A_TU2_1.fq.gz</t>
        </is>
      </c>
      <c r="D50" s="16" t="inlineStr">
        <is>
          <t>c4c86155f292f530f64303c5285ce8e3</t>
        </is>
      </c>
      <c r="E50" s="16" t="inlineStr">
        <is>
          <t>A_TU2_2.fq.gz</t>
        </is>
      </c>
      <c r="F50" s="16" t="inlineStr">
        <is>
          <t>923c27bf517d7f918136dbd87007c1a0</t>
        </is>
      </c>
    </row>
    <row r="51" ht="15" customHeight="1" s="12">
      <c r="A51" s="16" t="inlineStr">
        <is>
          <t>A_TO1</t>
        </is>
      </c>
      <c r="B51" s="16" t="inlineStr">
        <is>
          <t>Lauderdale 2025</t>
        </is>
      </c>
      <c r="C51" s="16" t="inlineStr">
        <is>
          <t>A_TO1_1.fq.gz</t>
        </is>
      </c>
      <c r="D51" s="16" t="inlineStr">
        <is>
          <t>9adf0cd26bbd10ead38be2d50b0d0cb7</t>
        </is>
      </c>
      <c r="E51" s="16" t="inlineStr">
        <is>
          <t>A_TO1_2.fq.gz</t>
        </is>
      </c>
      <c r="F51" s="16" t="inlineStr">
        <is>
          <t>51b4eef64fbd32e1b8ecbe85bd020e32</t>
        </is>
      </c>
    </row>
    <row r="52" ht="15" customHeight="1" s="12">
      <c r="A52" s="16" t="inlineStr">
        <is>
          <t>A_TO2</t>
        </is>
      </c>
      <c r="B52" s="16" t="inlineStr">
        <is>
          <t>Lauderdale 2025</t>
        </is>
      </c>
      <c r="C52" s="16" t="inlineStr">
        <is>
          <t>A_TO2_1.fq.gz</t>
        </is>
      </c>
      <c r="D52" s="16" t="inlineStr">
        <is>
          <t>17748d41dbd87849d454b476ed54eaab</t>
        </is>
      </c>
      <c r="E52" s="16" t="inlineStr">
        <is>
          <t>A_TO2_2.fq.gz</t>
        </is>
      </c>
      <c r="F52" s="16" t="inlineStr">
        <is>
          <t>c5f7f29046daeed3bb843fac7418ee8f</t>
        </is>
      </c>
    </row>
    <row r="53" ht="15" customHeight="1" s="12">
      <c r="A53" s="16" t="inlineStr">
        <is>
          <t>SRR15826452</t>
        </is>
      </c>
      <c r="B53" s="16" t="inlineStr">
        <is>
          <t>Duncan GSE183742</t>
        </is>
      </c>
      <c r="C53" s="16" t="inlineStr">
        <is>
          <t>SRR15826452_1.fastq.gz</t>
        </is>
      </c>
      <c r="D53" s="16" t="inlineStr">
        <is>
          <t>ad06dbe65a036d57255498dfd7a69b2c</t>
        </is>
      </c>
      <c r="E53" s="16" t="inlineStr">
        <is>
          <t>SRR15826452_2.fastq.gz</t>
        </is>
      </c>
      <c r="F53" s="16" t="inlineStr">
        <is>
          <t>2cb927dc27976617a0630f5c349b4fde</t>
        </is>
      </c>
    </row>
    <row r="54" ht="15" customHeight="1" s="12">
      <c r="A54" s="16" t="inlineStr">
        <is>
          <t>SRR15826453</t>
        </is>
      </c>
      <c r="B54" s="16" t="inlineStr">
        <is>
          <t>Duncan GSE183742</t>
        </is>
      </c>
      <c r="C54" s="16" t="inlineStr">
        <is>
          <t>SRR15826453_1.fastq.gz</t>
        </is>
      </c>
      <c r="D54" s="16" t="inlineStr">
        <is>
          <t>a91764343f6898b64278aed1baf4384f</t>
        </is>
      </c>
      <c r="E54" s="16" t="inlineStr">
        <is>
          <t>SRR15826453_2.fastq.gz</t>
        </is>
      </c>
      <c r="F54" s="16" t="inlineStr">
        <is>
          <t>391cf4b115a5a380a6495934a9348335</t>
        </is>
      </c>
    </row>
    <row r="55" ht="15" customHeight="1" s="12">
      <c r="A55" s="16" t="inlineStr">
        <is>
          <t>SRR15826454</t>
        </is>
      </c>
      <c r="B55" s="16" t="inlineStr">
        <is>
          <t>Duncan GSE183742</t>
        </is>
      </c>
      <c r="C55" s="16" t="inlineStr">
        <is>
          <t>SRR15826454_1.fastq.gz</t>
        </is>
      </c>
      <c r="D55" s="16" t="inlineStr">
        <is>
          <t>9ffa1ea19711e44222c2ad23696582d2</t>
        </is>
      </c>
      <c r="E55" s="16" t="inlineStr">
        <is>
          <t>SRR15826454_2.fastq.gz</t>
        </is>
      </c>
      <c r="F55" s="16" t="inlineStr">
        <is>
          <t>797cf0b4ca21991ce89b85ddaafd4342</t>
        </is>
      </c>
    </row>
    <row r="56" ht="15" customHeight="1" s="12">
      <c r="A56" s="16" t="inlineStr">
        <is>
          <t>SRR15826449</t>
        </is>
      </c>
      <c r="B56" s="16" t="inlineStr">
        <is>
          <t>Duncan GSE183742</t>
        </is>
      </c>
      <c r="C56" s="16" t="inlineStr">
        <is>
          <t>SRR15826449_1.fastq.gz</t>
        </is>
      </c>
      <c r="D56" s="16" t="inlineStr">
        <is>
          <t>1c35c22cb1e89829699b767f3d3e68f3</t>
        </is>
      </c>
      <c r="E56" s="16" t="inlineStr">
        <is>
          <t>SRR15826449_2.fastq.gz</t>
        </is>
      </c>
      <c r="F56" s="16" t="inlineStr">
        <is>
          <t>82c756b5a00cf36e8f48fdfc2e36948d</t>
        </is>
      </c>
    </row>
    <row r="57" ht="15" customHeight="1" s="12">
      <c r="A57" s="16" t="inlineStr">
        <is>
          <t>SRR15826450</t>
        </is>
      </c>
      <c r="B57" s="16" t="inlineStr">
        <is>
          <t>Duncan GSE183742</t>
        </is>
      </c>
      <c r="C57" s="16" t="inlineStr">
        <is>
          <t>SRR15826450_1.fastq.gz</t>
        </is>
      </c>
      <c r="D57" s="16" t="inlineStr">
        <is>
          <t>2df146992a402bc05bef1398a6b01e15</t>
        </is>
      </c>
      <c r="E57" s="16" t="inlineStr">
        <is>
          <t>SRR15826450_2.fastq.gz</t>
        </is>
      </c>
      <c r="F57" s="16" t="inlineStr">
        <is>
          <t>bc0fecfe3cb47209e5ca3f22c5f4d531</t>
        </is>
      </c>
    </row>
    <row r="58" ht="15" customHeight="1" s="12">
      <c r="A58" s="16" t="inlineStr">
        <is>
          <t>SRR15826451</t>
        </is>
      </c>
      <c r="B58" s="16" t="inlineStr">
        <is>
          <t>Duncan GSE183742</t>
        </is>
      </c>
      <c r="C58" s="16" t="inlineStr">
        <is>
          <t>SRR15826451_1.fastq.gz</t>
        </is>
      </c>
      <c r="D58" s="16" t="inlineStr">
        <is>
          <t>34890c2533a9c7638276f4eebb577c59</t>
        </is>
      </c>
      <c r="E58" s="16" t="inlineStr">
        <is>
          <t>SRR15826451_2.fastq.gz</t>
        </is>
      </c>
      <c r="F58" s="16" t="inlineStr">
        <is>
          <t>b7362e28516ee73291ec5a272cc9460c</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2026-09-26T17:50:29Z</dcterms:created>
  <dcterms:modified xmlns:dcterms="http://purl.org/dc/terms/" xmlns:xsi="http://www.w3.org/2001/XMLSchema-instance" xsi:type="dcterms:W3CDTF">2026-10-13T15:41:52Z</dcterms:modified>
  <cp:revision>0</cp:revision>
</cp:coreProperties>
</file>